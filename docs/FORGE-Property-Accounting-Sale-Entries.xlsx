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Journal Entries" sheetId="2" state="visible" r:id="rId4"/>
    <sheet name="Close-Out Summary" sheetId="3" state="visible" r:id="rId5"/>
    <sheet name="Project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<sst xmlns="http://schemas.openxmlformats.org/spreadsheetml/2006/main" count="115" uniqueCount="97">
  <si>
    <t xml:space="preserve">FORGE — Property Accounting &amp; Sale Entries</t>
  </si>
  <si>
    <t xml:space="preserve">Powered by ARIS | ForgedByAris.com</t>
  </si>
  <si>
    <t xml:space="preserve">HOW TO USE THIS WORKBOOK</t>
  </si>
  <si>
    <t xml:space="preserve">1</t>
  </si>
  <si>
    <t xml:space="preserve">Use the CLOSING STATEMENT tab to record the HUD-1 / settlement statement details.</t>
  </si>
  <si>
    <t xml:space="preserve">2</t>
  </si>
  <si>
    <t xml:space="preserve">Use the JOURNAL ENTRIES tab to record the QuickBooks journal entry for the sale.</t>
  </si>
  <si>
    <t xml:space="preserve">3</t>
  </si>
  <si>
    <t xml:space="preserve">Use the CLOSE-OUT SUMMARY tab to reconcile cost basis, proceeds, and profit/loss.</t>
  </si>
  <si>
    <t xml:space="preserve">4</t>
  </si>
  <si>
    <t xml:space="preserve">Use the PROJECT SUMMARY tab as a quick financial reference and document checklist.</t>
  </si>
  <si>
    <t xml:space="preserve">NOTE: Blue cells = user inputs (your numbers). Black cells = calculated formulas.</t>
  </si>
  <si>
    <t xml:space="preserve">FORGE — Property Sale Journal Entries (QuickBooks)</t>
  </si>
  <si>
    <t xml:space="preserve">Powered by ARIS | ForgedByAris.com | Blue cells = user inputs</t>
  </si>
  <si>
    <t xml:space="preserve">Property:</t>
  </si>
  <si>
    <t xml:space="preserve">[YOUR PROPERTY ADDRESS]</t>
  </si>
  <si>
    <t xml:space="preserve">#</t>
  </si>
  <si>
    <t xml:space="preserve">Description</t>
  </si>
  <si>
    <t xml:space="preserve">GL Acct #</t>
  </si>
  <si>
    <t xml:space="preserve">Account Name</t>
  </si>
  <si>
    <t xml:space="preserve">Debit ($)</t>
  </si>
  <si>
    <t xml:space="preserve">Credit ($)</t>
  </si>
  <si>
    <t xml:space="preserve">Class</t>
  </si>
  <si>
    <t xml:space="preserve">Record cash received (check or wire)</t>
  </si>
  <si>
    <t xml:space="preserve">1000</t>
  </si>
  <si>
    <t xml:space="preserve">Cash</t>
  </si>
  <si>
    <t xml:space="preserve">Gross Sales Proceeds (from closing stmt)</t>
  </si>
  <si>
    <t xml:space="preserve">9900-1</t>
  </si>
  <si>
    <t xml:space="preserve">Gross Sale Proceeds</t>
  </si>
  <si>
    <t xml:space="preserve">[Property Name]</t>
  </si>
  <si>
    <t xml:space="preserve">Take Property Off Books:</t>
  </si>
  <si>
    <t xml:space="preserve">Property purchase price</t>
  </si>
  <si>
    <t xml:space="preserve">1650</t>
  </si>
  <si>
    <t xml:space="preserve">[Property Name] — Purchase Price</t>
  </si>
  <si>
    <t xml:space="preserve">Property improvements</t>
  </si>
  <si>
    <t xml:space="preserve">1650-1</t>
  </si>
  <si>
    <t xml:space="preserve">Property Improvements</t>
  </si>
  <si>
    <t xml:space="preserve">Property utilities</t>
  </si>
  <si>
    <t xml:space="preserve">1650-2</t>
  </si>
  <si>
    <t xml:space="preserve">Property Utilities</t>
  </si>
  <si>
    <t xml:space="preserve">Property insurance</t>
  </si>
  <si>
    <t xml:space="preserve">1650-3</t>
  </si>
  <si>
    <t xml:space="preserve">Property Insurance</t>
  </si>
  <si>
    <t xml:space="preserve">Cost basis of property (total of above)</t>
  </si>
  <si>
    <t xml:space="preserve">9900-2</t>
  </si>
  <si>
    <t xml:space="preserve">Cost Basis of Property</t>
  </si>
  <si>
    <t xml:space="preserve">Take mortgage loan off books (principal)</t>
  </si>
  <si>
    <t xml:space="preserve">2300-1</t>
  </si>
  <si>
    <t xml:space="preserve">Mortgage — [Property Name]</t>
  </si>
  <si>
    <t xml:space="preserve">Loan interest paid at closing</t>
  </si>
  <si>
    <t xml:space="preserve">Other closing costs (all from closing stmt)</t>
  </si>
  <si>
    <t xml:space="preserve">TOTALS</t>
  </si>
  <si>
    <t xml:space="preserve">After posting this entry, the property account and debt account should both show zero balance.</t>
  </si>
  <si>
    <t xml:space="preserve">FORGE — Property Close-Out Summary</t>
  </si>
  <si>
    <t xml:space="preserve">Powered by ARIS | ForgedByAris.com | Blue = inputs | Black = formulas</t>
  </si>
  <si>
    <t xml:space="preserve">COST BASIS</t>
  </si>
  <si>
    <t xml:space="preserve">CLOSING COSTS</t>
  </si>
  <si>
    <t xml:space="preserve">Original Purchase Price</t>
  </si>
  <si>
    <t xml:space="preserve">Real Estate Commission</t>
  </si>
  <si>
    <t xml:space="preserve">Improvements</t>
  </si>
  <si>
    <t xml:space="preserve">Other Closing Costs</t>
  </si>
  <si>
    <t xml:space="preserve">doc fees, legal, misc. Net adj.</t>
  </si>
  <si>
    <t xml:space="preserve">Utilities</t>
  </si>
  <si>
    <t xml:space="preserve">Insurance</t>
  </si>
  <si>
    <t xml:space="preserve">Total Closing Costs</t>
  </si>
  <si>
    <t xml:space="preserve">Closing Costs (detail right)</t>
  </si>
  <si>
    <t xml:space="preserve">Total Debt Service (interest)</t>
  </si>
  <si>
    <t xml:space="preserve">Debt Service in QB</t>
  </si>
  <si>
    <t xml:space="preserve">TOTAL COST BASIS</t>
  </si>
  <si>
    <t xml:space="preserve">PROCEEDS &amp; GAIN</t>
  </si>
  <si>
    <t xml:space="preserve">Gross Proceeds (Sale Price)</t>
  </si>
  <si>
    <t xml:space="preserve">Less: Total Cost Basis</t>
  </si>
  <si>
    <t xml:space="preserve">NET GAIN</t>
  </si>
  <si>
    <t xml:space="preserve">This Gain must equal the amount on the property class income statement in QuickBooks.</t>
  </si>
  <si>
    <t xml:space="preserve">FORGE — Project Summary &amp; Document Checklist</t>
  </si>
  <si>
    <t xml:space="preserve">Close Date:</t>
  </si>
  <si>
    <t xml:space="preserve">DOCUMENT CHECKLIST</t>
  </si>
  <si>
    <t xml:space="preserve">FINANCIAL SUMMARY</t>
  </si>
  <si>
    <t xml:space="preserve">☐</t>
  </si>
  <si>
    <t xml:space="preserve">Property Sale Analysis</t>
  </si>
  <si>
    <t xml:space="preserve">Holding Time (days)</t>
  </si>
  <si>
    <t xml:space="preserve">Buying HUD-1 / Closing Statement</t>
  </si>
  <si>
    <t xml:space="preserve">Gross Proceeds $</t>
  </si>
  <si>
    <t xml:space="preserve">Selling HUD-1 / Closing Statement</t>
  </si>
  <si>
    <t xml:space="preserve">Total Cost Basis $</t>
  </si>
  <si>
    <t xml:space="preserve">Copy of Check/Wire from Sale</t>
  </si>
  <si>
    <t xml:space="preserve">Net Gain $</t>
  </si>
  <si>
    <t xml:space="preserve">QuickBooks Quick Report</t>
  </si>
  <si>
    <t xml:space="preserve">Improvement Cost $</t>
  </si>
  <si>
    <t xml:space="preserve">Journal Entry</t>
  </si>
  <si>
    <t xml:space="preserve">Utilities Cost $</t>
  </si>
  <si>
    <t xml:space="preserve">Class Income Statement / P&amp;L</t>
  </si>
  <si>
    <t xml:space="preserve">Insurance $</t>
  </si>
  <si>
    <t xml:space="preserve">Appraisal Report</t>
  </si>
  <si>
    <t xml:space="preserve">Financing Cost $</t>
  </si>
  <si>
    <t xml:space="preserve">Inspection Report</t>
  </si>
  <si>
    <t xml:space="preserve">Title Policy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</si>
</sst>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General"/>
    <numFmt numFmtId="167" formatCode="@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C89B3C"/>
      <name val="Arial"/>
      <family val="0"/>
      <charset val="1"/>
    </font>
    <font>
      <b val="true"/>
      <sz val="11"/>
      <color rgb="FF0D1B2A"/>
      <name val="Arial"/>
      <family val="0"/>
      <charset val="1"/>
    </font>
    <font>
      <b val="true"/>
      <sz val="10"/>
      <color rgb="FFC89B3C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444444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1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0D1B2A"/>
      <name val="Arial"/>
      <family val="0"/>
      <charset val="1"/>
    </font>
    <font>
      <sz val="10"/>
      <color rgb="FF555555"/>
      <name val="Arial"/>
      <family val="0"/>
      <charset val="1"/>
    </font>
    <font>
      <sz val="9"/>
      <color rgb="FF888888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2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D1B2A"/>
        <bgColor rgb="FF000000"/>
      </patternFill>
    </fill>
    <fill>
      <patternFill patternType="solid">
        <fgColor rgb="FFF0F4F8"/>
        <bgColor rgb="FFFFFFFF"/>
      </patternFill>
    </fill>
    <fill>
      <patternFill patternType="solid">
        <fgColor rgb="FF1E3A5F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88888"/>
      <rgbColor rgb="FF9999FF"/>
      <rgbColor rgb="FF993366"/>
      <rgbColor rgb="FFF0F4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89B3C"/>
      <rgbColor rgb="FFFF6600"/>
      <rgbColor rgb="FF555555"/>
      <rgbColor rgb="FF969696"/>
      <rgbColor rgb="FF1E3A5F"/>
      <rgbColor rgb="FF339966"/>
      <rgbColor rgb="FF0D1B2A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60"/>
    <col collapsed="false" customWidth="true" hidden="false" outlineLevel="0" max="3" min="3" style="0" width="20"/>
  </cols>
  <sheetData>
    <row r="1" customFormat="false" ht="30" hidden="false" customHeight="true" outlineLevel="0" collapsed="false">
      <c r="A1" s="1" t="s">
        <v>0</v>
      </c>
      <c r="B1" s="1"/>
      <c r="C1" s="1"/>
    </row>
    <row r="2" customFormat="false" ht="15" hidden="false" customHeight="true" outlineLevel="0" collapsed="false">
      <c r="A2" s="2" t="s">
        <v>1</v>
      </c>
      <c r="B2" s="2"/>
      <c r="C2" s="2"/>
    </row>
    <row r="4" customFormat="false" ht="15" hidden="false" customHeight="true" outlineLevel="0" collapsed="false">
      <c r="A4" s="3" t="s">
        <v>2</v>
      </c>
      <c r="B4" s="3"/>
      <c r="C4" s="3"/>
    </row>
    <row r="5" customFormat="false" ht="30" hidden="false" customHeight="true" outlineLevel="0" collapsed="false">
      <c r="A5" s="4" t="s">
        <v>3</v>
      </c>
      <c r="B5" s="5" t="s">
        <v>4</v>
      </c>
      <c r="C5" s="5"/>
    </row>
    <row r="6" customFormat="false" ht="30" hidden="false" customHeight="true" outlineLevel="0" collapsed="false">
      <c r="A6" s="4" t="s">
        <v>5</v>
      </c>
      <c r="B6" s="5" t="s">
        <v>6</v>
      </c>
      <c r="C6" s="5"/>
    </row>
    <row r="7" customFormat="false" ht="30" hidden="false" customHeight="true" outlineLevel="0" collapsed="false">
      <c r="A7" s="4" t="s">
        <v>7</v>
      </c>
      <c r="B7" s="5" t="s">
        <v>8</v>
      </c>
      <c r="C7" s="5"/>
    </row>
    <row r="8" customFormat="false" ht="30" hidden="false" customHeight="true" outlineLevel="0" collapsed="false">
      <c r="A8" s="4" t="s">
        <v>9</v>
      </c>
      <c r="B8" s="5" t="s">
        <v>10</v>
      </c>
      <c r="C8" s="5"/>
    </row>
    <row r="10" customFormat="false" ht="15" hidden="false" customHeight="true" outlineLevel="0" collapsed="false">
      <c r="A10" s="6" t="s">
        <v>11</v>
      </c>
      <c r="B10" s="6"/>
      <c r="C10" s="6"/>
    </row>
  </sheetData>
  <mergeCells count="8">
    <mergeCell ref="A1:C1"/>
    <mergeCell ref="A2:C2"/>
    <mergeCell ref="A4:C4"/>
    <mergeCell ref="B5:C5"/>
    <mergeCell ref="B6:C6"/>
    <mergeCell ref="B7:C7"/>
    <mergeCell ref="B8:C8"/>
    <mergeCell ref="A10:C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5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7" min="5" style="0" width="14"/>
  </cols>
  <sheetData>
    <row r="1" customFormat="false" ht="27.75" hidden="false" customHeight="true" outlineLevel="0" collapsed="false">
      <c r="A1" s="7" t="s">
        <v>12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A2" s="2" t="s">
        <v>13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8" t="s">
        <v>14</v>
      </c>
      <c r="B4" s="8"/>
      <c r="C4" s="8"/>
      <c r="D4" s="8"/>
      <c r="E4" s="8"/>
      <c r="F4" s="8"/>
      <c r="G4" s="8"/>
    </row>
    <row r="5" customFormat="false" ht="15" hidden="false" customHeight="false" outlineLevel="0" collapsed="false">
      <c r="A5" s="9" t="s">
        <v>15</v>
      </c>
      <c r="B5" s="9"/>
      <c r="C5" s="9"/>
      <c r="D5" s="9"/>
      <c r="E5" s="9"/>
      <c r="F5" s="9"/>
      <c r="G5" s="9"/>
    </row>
    <row r="7" customFormat="false" ht="21.75" hidden="false" customHeight="true" outlineLevel="0" collapsed="false">
      <c r="A7" s="10" t="s">
        <v>16</v>
      </c>
      <c r="B7" s="10" t="s">
        <v>17</v>
      </c>
      <c r="C7" s="10" t="s">
        <v>18</v>
      </c>
      <c r="D7" s="10" t="s">
        <v>19</v>
      </c>
      <c r="E7" s="10" t="s">
        <v>20</v>
      </c>
      <c r="F7" s="10" t="s">
        <v>21</v>
      </c>
      <c r="G7" s="10" t="s">
        <v>22</v>
      </c>
    </row>
    <row r="8" customFormat="false" ht="15" hidden="false" customHeight="false" outlineLevel="0" collapsed="false">
      <c r="A8" s="11"/>
      <c r="B8" s="11" t="s">
        <v>23</v>
      </c>
      <c r="C8" s="11" t="s">
        <v>24</v>
      </c>
      <c r="D8" s="11" t="s">
        <v>25</v>
      </c>
      <c r="E8" s="12" t="n">
        <v>284866</v>
      </c>
      <c r="F8" s="11"/>
      <c r="G8" s="11"/>
    </row>
    <row r="9" customFormat="false" ht="15" hidden="false" customHeight="false" outlineLevel="0" collapsed="false">
      <c r="A9" s="11"/>
      <c r="B9" s="11" t="s">
        <v>26</v>
      </c>
      <c r="C9" s="11" t="s">
        <v>27</v>
      </c>
      <c r="D9" s="11" t="s">
        <v>28</v>
      </c>
      <c r="E9" s="11"/>
      <c r="F9" s="12" t="n">
        <v>495000</v>
      </c>
      <c r="G9" s="11" t="s">
        <v>29</v>
      </c>
    </row>
    <row r="10" customFormat="false" ht="15" hidden="false" customHeight="false" outlineLevel="0" collapsed="false">
      <c r="B10" s="13" t="s">
        <v>30</v>
      </c>
      <c r="C10" s="13"/>
      <c r="D10" s="13"/>
      <c r="E10" s="13"/>
      <c r="F10" s="13"/>
      <c r="G10" s="13"/>
    </row>
    <row r="11" customFormat="false" ht="15" hidden="false" customHeight="false" outlineLevel="0" collapsed="false">
      <c r="A11" s="11"/>
      <c r="B11" s="11" t="s">
        <v>31</v>
      </c>
      <c r="C11" s="11" t="s">
        <v>32</v>
      </c>
      <c r="D11" s="11" t="s">
        <v>33</v>
      </c>
      <c r="E11" s="11"/>
      <c r="F11" s="12" t="n">
        <v>239280</v>
      </c>
      <c r="G11" s="11"/>
    </row>
    <row r="12" customFormat="false" ht="15" hidden="false" customHeight="false" outlineLevel="0" collapsed="false">
      <c r="A12" s="11"/>
      <c r="B12" s="11" t="s">
        <v>34</v>
      </c>
      <c r="C12" s="11" t="s">
        <v>35</v>
      </c>
      <c r="D12" s="11" t="s">
        <v>36</v>
      </c>
      <c r="E12" s="11"/>
      <c r="F12" s="12" t="n">
        <v>80855</v>
      </c>
      <c r="G12" s="11"/>
    </row>
    <row r="13" customFormat="false" ht="15" hidden="false" customHeight="false" outlineLevel="0" collapsed="false">
      <c r="A13" s="11"/>
      <c r="B13" s="11" t="s">
        <v>37</v>
      </c>
      <c r="C13" s="11" t="s">
        <v>38</v>
      </c>
      <c r="D13" s="11" t="s">
        <v>39</v>
      </c>
      <c r="E13" s="11"/>
      <c r="F13" s="12" t="n">
        <v>881</v>
      </c>
      <c r="G13" s="11"/>
    </row>
    <row r="14" customFormat="false" ht="15" hidden="false" customHeight="false" outlineLevel="0" collapsed="false">
      <c r="A14" s="11"/>
      <c r="B14" s="11" t="s">
        <v>40</v>
      </c>
      <c r="C14" s="11" t="s">
        <v>41</v>
      </c>
      <c r="D14" s="11" t="s">
        <v>42</v>
      </c>
      <c r="E14" s="11"/>
      <c r="F14" s="12" t="n">
        <v>1068</v>
      </c>
      <c r="G14" s="11"/>
    </row>
    <row r="15" customFormat="false" ht="15" hidden="false" customHeight="false" outlineLevel="0" collapsed="false">
      <c r="A15" s="11"/>
      <c r="B15" s="11" t="s">
        <v>43</v>
      </c>
      <c r="C15" s="11" t="s">
        <v>44</v>
      </c>
      <c r="D15" s="11" t="s">
        <v>45</v>
      </c>
      <c r="E15" s="11" t="n">
        <f aca="false">SUM(E11:E14)</f>
        <v>0</v>
      </c>
      <c r="F15" s="11"/>
      <c r="G15" s="11"/>
    </row>
    <row r="16" customFormat="false" ht="15" hidden="false" customHeight="false" outlineLevel="0" collapsed="false">
      <c r="A16" s="11"/>
      <c r="B16" s="11" t="s">
        <v>46</v>
      </c>
      <c r="C16" s="11" t="s">
        <v>47</v>
      </c>
      <c r="D16" s="11" t="s">
        <v>48</v>
      </c>
      <c r="E16" s="12" t="n">
        <v>185000</v>
      </c>
      <c r="F16" s="11"/>
      <c r="G16" s="11"/>
    </row>
    <row r="17" customFormat="false" ht="15" hidden="false" customHeight="false" outlineLevel="0" collapsed="false">
      <c r="A17" s="11"/>
      <c r="B17" s="11" t="s">
        <v>49</v>
      </c>
      <c r="C17" s="11" t="s">
        <v>44</v>
      </c>
      <c r="D17" s="11" t="s">
        <v>45</v>
      </c>
      <c r="E17" s="12" t="n">
        <v>8420</v>
      </c>
      <c r="F17" s="11"/>
      <c r="G17" s="11" t="s">
        <v>29</v>
      </c>
    </row>
    <row r="18" customFormat="false" ht="15" hidden="false" customHeight="false" outlineLevel="0" collapsed="false">
      <c r="A18" s="11"/>
      <c r="B18" s="11" t="s">
        <v>50</v>
      </c>
      <c r="C18" s="11" t="s">
        <v>44</v>
      </c>
      <c r="D18" s="11" t="s">
        <v>45</v>
      </c>
      <c r="E18" s="12" t="n">
        <v>16714</v>
      </c>
      <c r="F18" s="11"/>
      <c r="G18" s="11" t="s">
        <v>29</v>
      </c>
    </row>
    <row r="20" customFormat="false" ht="15" hidden="false" customHeight="false" outlineLevel="0" collapsed="false">
      <c r="A20" s="11"/>
      <c r="B20" s="11" t="s">
        <v>51</v>
      </c>
      <c r="C20" s="11"/>
      <c r="D20" s="11"/>
      <c r="E20" s="14" t="n">
        <f aca="false">SUM(E8:E18)</f>
        <v>495000</v>
      </c>
      <c r="F20" s="15" t="n">
        <f aca="false">SUM(F8:F18)</f>
        <v>817084</v>
      </c>
      <c r="G20" s="11"/>
    </row>
    <row r="22" customFormat="false" ht="15" hidden="false" customHeight="true" outlineLevel="0" collapsed="false">
      <c r="A22" s="16" t="s">
        <v>52</v>
      </c>
      <c r="B22" s="16"/>
      <c r="C22" s="16"/>
      <c r="D22" s="16"/>
      <c r="E22" s="16"/>
      <c r="F22" s="16"/>
      <c r="G22" s="16"/>
    </row>
  </sheetData>
  <mergeCells count="6">
    <mergeCell ref="A1:G1"/>
    <mergeCell ref="A2:G2"/>
    <mergeCell ref="A4:G4"/>
    <mergeCell ref="A5:G5"/>
    <mergeCell ref="B10:G10"/>
    <mergeCell ref="A22:G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5"/>
    <col collapsed="false" customWidth="true" hidden="false" outlineLevel="0" max="4" min="4" style="0" width="30"/>
    <col collapsed="false" customWidth="true" hidden="false" outlineLevel="0" max="5" min="5" style="0" width="18"/>
    <col collapsed="false" customWidth="true" hidden="false" outlineLevel="0" max="6" min="6" style="0" width="30"/>
  </cols>
  <sheetData>
    <row r="1" customFormat="false" ht="27.75" hidden="false" customHeight="true" outlineLevel="0" collapsed="false">
      <c r="A1" s="7" t="s">
        <v>53</v>
      </c>
      <c r="B1" s="7"/>
      <c r="C1" s="7"/>
      <c r="D1" s="7"/>
      <c r="E1" s="7"/>
      <c r="F1" s="7"/>
    </row>
    <row r="2" customFormat="false" ht="15" hidden="false" customHeight="true" outlineLevel="0" collapsed="false">
      <c r="A2" s="2" t="s">
        <v>54</v>
      </c>
      <c r="B2" s="2"/>
      <c r="C2" s="2"/>
      <c r="D2" s="2"/>
      <c r="E2" s="2"/>
      <c r="F2" s="2"/>
    </row>
    <row r="4" customFormat="false" ht="15" hidden="false" customHeight="true" outlineLevel="0" collapsed="false">
      <c r="A4" s="17" t="s">
        <v>55</v>
      </c>
      <c r="B4" s="17"/>
      <c r="D4" s="17" t="s">
        <v>56</v>
      </c>
      <c r="E4" s="17"/>
      <c r="F4" s="17"/>
    </row>
    <row r="5" customFormat="false" ht="15" hidden="false" customHeight="false" outlineLevel="0" collapsed="false">
      <c r="A5" s="18" t="s">
        <v>57</v>
      </c>
      <c r="B5" s="19" t="n">
        <v>239280.9</v>
      </c>
      <c r="D5" s="18" t="s">
        <v>58</v>
      </c>
      <c r="E5" s="19" t="n">
        <v>12375</v>
      </c>
    </row>
    <row r="6" customFormat="false" ht="15" hidden="false" customHeight="false" outlineLevel="0" collapsed="false">
      <c r="A6" s="18" t="s">
        <v>59</v>
      </c>
      <c r="B6" s="19" t="n">
        <v>80960.98</v>
      </c>
      <c r="D6" s="18" t="s">
        <v>60</v>
      </c>
      <c r="E6" s="19" t="n">
        <v>4339</v>
      </c>
      <c r="F6" s="20" t="s">
        <v>61</v>
      </c>
    </row>
    <row r="7" customFormat="false" ht="15" hidden="false" customHeight="false" outlineLevel="0" collapsed="false">
      <c r="A7" s="18" t="s">
        <v>62</v>
      </c>
      <c r="B7" s="19" t="n">
        <v>881.35</v>
      </c>
      <c r="D7" s="18"/>
      <c r="E7" s="21"/>
    </row>
    <row r="8" customFormat="false" ht="15" hidden="false" customHeight="false" outlineLevel="0" collapsed="false">
      <c r="A8" s="18" t="s">
        <v>63</v>
      </c>
      <c r="B8" s="19" t="n">
        <v>1068</v>
      </c>
      <c r="D8" s="18" t="s">
        <v>64</v>
      </c>
      <c r="E8" s="21" t="n">
        <f aca="false">E5+E6</f>
        <v>16714</v>
      </c>
    </row>
    <row r="9" customFormat="false" ht="15" hidden="false" customHeight="false" outlineLevel="0" collapsed="false">
      <c r="A9" s="18" t="s">
        <v>65</v>
      </c>
      <c r="B9" s="21" t="n">
        <f aca="false">E8</f>
        <v>16714</v>
      </c>
      <c r="D9" s="18"/>
      <c r="E9" s="21"/>
    </row>
    <row r="10" customFormat="false" ht="15" hidden="false" customHeight="false" outlineLevel="0" collapsed="false">
      <c r="A10" s="18" t="s">
        <v>66</v>
      </c>
      <c r="B10" s="19" t="n">
        <v>8420</v>
      </c>
      <c r="D10" s="18" t="s">
        <v>67</v>
      </c>
      <c r="E10" s="19" t="n">
        <v>8420</v>
      </c>
    </row>
    <row r="11" customFormat="false" ht="15" hidden="false" customHeight="false" outlineLevel="0" collapsed="false">
      <c r="A11" s="18" t="s">
        <v>68</v>
      </c>
      <c r="B11" s="22" t="n">
        <f aca="false">SUM(B5:B10)</f>
        <v>347325.23</v>
      </c>
      <c r="D11" s="18"/>
      <c r="E11" s="21"/>
    </row>
    <row r="13" customFormat="false" ht="15" hidden="false" customHeight="true" outlineLevel="0" collapsed="false">
      <c r="A13" s="17" t="s">
        <v>69</v>
      </c>
      <c r="B13" s="17"/>
      <c r="D13" s="17"/>
      <c r="E13" s="17"/>
      <c r="F13" s="17"/>
    </row>
    <row r="14" customFormat="false" ht="15" hidden="false" customHeight="false" outlineLevel="0" collapsed="false">
      <c r="A14" s="18" t="s">
        <v>70</v>
      </c>
      <c r="B14" s="19" t="n">
        <v>495000</v>
      </c>
      <c r="D14" s="18"/>
      <c r="E14" s="21"/>
    </row>
    <row r="15" customFormat="false" ht="15" hidden="false" customHeight="false" outlineLevel="0" collapsed="false">
      <c r="A15" s="18" t="s">
        <v>71</v>
      </c>
      <c r="B15" s="23" t="n">
        <f aca="false">B11</f>
        <v>347325.23</v>
      </c>
      <c r="D15" s="18"/>
      <c r="E15" s="21"/>
    </row>
    <row r="16" customFormat="false" ht="15" hidden="false" customHeight="false" outlineLevel="0" collapsed="false">
      <c r="A16" s="18" t="s">
        <v>72</v>
      </c>
      <c r="B16" s="24" t="n">
        <f aca="false">B14-B15</f>
        <v>147674.77</v>
      </c>
      <c r="D16" s="18"/>
      <c r="E16" s="21"/>
    </row>
    <row r="17" customFormat="false" ht="15" hidden="false" customHeight="false" outlineLevel="0" collapsed="false">
      <c r="A17" s="25" t="s">
        <v>73</v>
      </c>
      <c r="B17" s="25"/>
      <c r="C17" s="25"/>
      <c r="D17" s="25"/>
      <c r="E17" s="25"/>
      <c r="F17" s="25"/>
    </row>
  </sheetData>
  <mergeCells count="7">
    <mergeCell ref="A1:F1"/>
    <mergeCell ref="A2:F2"/>
    <mergeCell ref="A4:B4"/>
    <mergeCell ref="D4:F4"/>
    <mergeCell ref="A13:B13"/>
    <mergeCell ref="D13:F13"/>
    <mergeCell ref="A17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8"/>
    <col collapsed="false" customWidth="true" hidden="false" outlineLevel="0" max="3" min="3" style="0" width="30"/>
    <col collapsed="false" customWidth="true" hidden="false" outlineLevel="0" max="4" min="4" style="0" width="18"/>
    <col collapsed="false" customWidth="true" hidden="false" outlineLevel="0" max="5" min="5" style="0" width="5"/>
    <col collapsed="false" customWidth="true" hidden="false" outlineLevel="0" max="6" min="6" style="0" width="20"/>
    <col collapsed="false" customWidth="true" hidden="false" outlineLevel="0" max="7" min="7" style="0" width="18"/>
  </cols>
  <sheetData>
    <row r="1" customFormat="false" ht="27.75" hidden="false" customHeight="true" outlineLevel="0" collapsed="false">
      <c r="A1" s="7" t="s">
        <v>74</v>
      </c>
      <c r="B1" s="7"/>
      <c r="C1" s="7"/>
      <c r="D1" s="7"/>
      <c r="E1" s="7"/>
      <c r="F1" s="7"/>
      <c r="G1" s="7"/>
    </row>
    <row r="2" customFormat="false" ht="15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18" t="s">
        <v>14</v>
      </c>
      <c r="B4" s="26" t="s">
        <v>15</v>
      </c>
      <c r="C4" s="26"/>
      <c r="D4" s="26"/>
      <c r="F4" s="18" t="s">
        <v>75</v>
      </c>
      <c r="G4" s="27"/>
    </row>
    <row r="6" customFormat="false" ht="15" hidden="false" customHeight="true" outlineLevel="0" collapsed="false">
      <c r="A6" s="28" t="s">
        <v>76</v>
      </c>
      <c r="B6" s="28"/>
      <c r="C6" s="28"/>
      <c r="D6" s="28"/>
      <c r="F6" s="28" t="s">
        <v>77</v>
      </c>
      <c r="G6" s="28"/>
    </row>
    <row r="7" customFormat="false" ht="15" hidden="false" customHeight="false" outlineLevel="0" collapsed="false">
      <c r="A7" s="29" t="s">
        <v>78</v>
      </c>
      <c r="B7" s="30" t="n">
        <v>1</v>
      </c>
      <c r="C7" s="31" t="s">
        <v>79</v>
      </c>
      <c r="D7" s="31"/>
      <c r="F7" s="18" t="s">
        <v>80</v>
      </c>
      <c r="G7" s="27" t="n">
        <v>163</v>
      </c>
    </row>
    <row r="8" customFormat="false" ht="15" hidden="false" customHeight="false" outlineLevel="0" collapsed="false">
      <c r="A8" s="29" t="s">
        <v>78</v>
      </c>
      <c r="B8" s="30" t="n">
        <v>2</v>
      </c>
      <c r="C8" s="31" t="s">
        <v>81</v>
      </c>
      <c r="D8" s="31"/>
      <c r="F8" s="18" t="s">
        <v>82</v>
      </c>
      <c r="G8" s="19" t="n">
        <v>495000</v>
      </c>
    </row>
    <row r="9" customFormat="false" ht="15" hidden="false" customHeight="false" outlineLevel="0" collapsed="false">
      <c r="A9" s="29" t="s">
        <v>78</v>
      </c>
      <c r="B9" s="30" t="n">
        <v>3</v>
      </c>
      <c r="C9" s="31" t="s">
        <v>83</v>
      </c>
      <c r="D9" s="31"/>
      <c r="F9" s="18" t="s">
        <v>84</v>
      </c>
      <c r="G9" s="19" t="n">
        <v>347325</v>
      </c>
    </row>
    <row r="10" customFormat="false" ht="15" hidden="false" customHeight="false" outlineLevel="0" collapsed="false">
      <c r="A10" s="29" t="s">
        <v>78</v>
      </c>
      <c r="B10" s="30" t="n">
        <v>4</v>
      </c>
      <c r="C10" s="31" t="s">
        <v>85</v>
      </c>
      <c r="D10" s="31"/>
      <c r="F10" s="18" t="s">
        <v>86</v>
      </c>
      <c r="G10" s="19" t="n">
        <v>147675</v>
      </c>
    </row>
    <row r="11" customFormat="false" ht="15" hidden="false" customHeight="false" outlineLevel="0" collapsed="false">
      <c r="A11" s="29" t="s">
        <v>78</v>
      </c>
      <c r="B11" s="30" t="n">
        <v>5</v>
      </c>
      <c r="C11" s="31" t="s">
        <v>87</v>
      </c>
      <c r="D11" s="31"/>
      <c r="F11" s="18" t="s">
        <v>88</v>
      </c>
      <c r="G11" s="19" t="n">
        <v>80961</v>
      </c>
    </row>
    <row r="12" customFormat="false" ht="15" hidden="false" customHeight="false" outlineLevel="0" collapsed="false">
      <c r="A12" s="29" t="s">
        <v>78</v>
      </c>
      <c r="B12" s="30" t="n">
        <v>6</v>
      </c>
      <c r="C12" s="31" t="s">
        <v>89</v>
      </c>
      <c r="D12" s="31"/>
      <c r="F12" s="18" t="s">
        <v>90</v>
      </c>
      <c r="G12" s="19" t="n">
        <v>881</v>
      </c>
    </row>
    <row r="13" customFormat="false" ht="15" hidden="false" customHeight="false" outlineLevel="0" collapsed="false">
      <c r="A13" s="29" t="s">
        <v>78</v>
      </c>
      <c r="B13" s="30" t="n">
        <v>7</v>
      </c>
      <c r="C13" s="31" t="s">
        <v>91</v>
      </c>
      <c r="D13" s="31"/>
      <c r="F13" s="18" t="s">
        <v>92</v>
      </c>
      <c r="G13" s="19" t="n">
        <v>1068</v>
      </c>
    </row>
    <row r="14" customFormat="false" ht="15" hidden="false" customHeight="false" outlineLevel="0" collapsed="false">
      <c r="A14" s="29" t="s">
        <v>78</v>
      </c>
      <c r="B14" s="30" t="n">
        <v>8</v>
      </c>
      <c r="C14" s="31" t="s">
        <v>93</v>
      </c>
      <c r="D14" s="31"/>
      <c r="F14" s="18" t="s">
        <v>94</v>
      </c>
      <c r="G14" s="19" t="n">
        <v>8420</v>
      </c>
    </row>
    <row r="15" customFormat="false" ht="15" hidden="false" customHeight="false" outlineLevel="0" collapsed="false">
      <c r="A15" s="29" t="s">
        <v>78</v>
      </c>
      <c r="B15" s="30" t="n">
        <v>9</v>
      </c>
      <c r="C15" s="31" t="s">
        <v>95</v>
      </c>
      <c r="D15" s="31"/>
    </row>
    <row r="16" customFormat="false" ht="15" hidden="false" customHeight="false" outlineLevel="0" collapsed="false">
      <c r="A16" s="29" t="s">
        <v>78</v>
      </c>
      <c r="B16" s="30" t="n">
        <v>10</v>
      </c>
      <c r="C16" s="31" t="s">
        <v>96</v>
      </c>
      <c r="D16" s="31"/>
    </row>
  </sheetData>
  <mergeCells count="15">
    <mergeCell ref="A1:G1"/>
    <mergeCell ref="A2:G2"/>
    <mergeCell ref="B4:D4"/>
    <mergeCell ref="A6:D6"/>
    <mergeCell ref="F6:G6"/>
    <mergeCell ref="C7:D7"/>
    <mergeCell ref="C8:D8"/>
    <mergeCell ref="C9:D9"/>
    <mergeCell ref="C10:D10"/>
    <mergeCell ref="C11:D11"/>
    <mergeCell ref="C12:D12"/>
    <mergeCell ref="C13:D13"/>
    <mergeCell ref="C14:D14"/>
    <mergeCell ref="C15:D15"/>
    <mergeCell ref="C16:D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2026-06-21T16:09:38Z</dcterms:created>
  <dc:creator>openpyxl</dc:creator>
  <dc:description/>
  <dc:language>en-US</dc:language>
  <cp:lastModifiedBy/>
  <dcterms:modified xsi:type="dcterms:W3CDTF">2026-06-21T16:09:38Z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