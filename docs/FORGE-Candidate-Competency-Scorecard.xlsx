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etency Scorecard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<sst xmlns="http://schemas.openxmlformats.org/spreadsheetml/2006/main" count="113" uniqueCount="80">
  <si>
    <t xml:space="preserve">FORGE — Candidate Competency Scorecard</t>
  </si>
  <si>
    <t xml:space="preserve">Rate each competency 1–6  |  6=Excellent  5=Very Good  4=Good  3=Only Fair  2=Poor  1=Very Poor</t>
  </si>
  <si>
    <t xml:space="preserve">Candidate Name:</t>
  </si>
  <si>
    <t xml:space="preserve">Position Applied For:</t>
  </si>
  <si>
    <t xml:space="preserve">Interviewer:</t>
  </si>
  <si>
    <t xml:space="preserve">Date:</t>
  </si>
  <si>
    <t xml:space="preserve">#</t>
  </si>
  <si>
    <t xml:space="preserve">Competency</t>
  </si>
  <si>
    <t xml:space="preserve">Category</t>
  </si>
  <si>
    <t xml:space="preserve">Min. Rating</t>
  </si>
  <si>
    <t xml:space="preserve">Your Rating</t>
  </si>
  <si>
    <t xml:space="preserve">Gap</t>
  </si>
  <si>
    <t xml:space="preserve">Pass / Fail</t>
  </si>
  <si>
    <t xml:space="preserve">Notes</t>
  </si>
  <si>
    <t xml:space="preserve">Track Record</t>
  </si>
  <si>
    <t xml:space="preserve">Sales &amp; Communication</t>
  </si>
  <si>
    <t xml:space="preserve">Phone Communication / Sales</t>
  </si>
  <si>
    <t xml:space="preserve">Closing Ability</t>
  </si>
  <si>
    <t xml:space="preserve">Objection Handling</t>
  </si>
  <si>
    <t xml:space="preserve">Negotiating</t>
  </si>
  <si>
    <t xml:space="preserve">Lead Leveraging</t>
  </si>
  <si>
    <t xml:space="preserve">Time Management</t>
  </si>
  <si>
    <t xml:space="preserve">Intelligence</t>
  </si>
  <si>
    <t xml:space="preserve">Intellectual</t>
  </si>
  <si>
    <t xml:space="preserve">Analysis Skills</t>
  </si>
  <si>
    <t xml:space="preserve">Judgment / Decision Making</t>
  </si>
  <si>
    <t xml:space="preserve">Education</t>
  </si>
  <si>
    <t xml:space="preserve">Integrity</t>
  </si>
  <si>
    <t xml:space="preserve">Personal</t>
  </si>
  <si>
    <t xml:space="preserve">Resourcefulness</t>
  </si>
  <si>
    <t xml:space="preserve">Organizational</t>
  </si>
  <si>
    <t xml:space="preserve">Excellence</t>
  </si>
  <si>
    <t xml:space="preserve">Independence</t>
  </si>
  <si>
    <t xml:space="preserve">Stress Management</t>
  </si>
  <si>
    <t xml:space="preserve">Self-Awareness</t>
  </si>
  <si>
    <t xml:space="preserve">Adaptability</t>
  </si>
  <si>
    <t xml:space="preserve">First Impression</t>
  </si>
  <si>
    <t xml:space="preserve">Likability</t>
  </si>
  <si>
    <t xml:space="preserve">Interpersonal</t>
  </si>
  <si>
    <t xml:space="preserve">Listening</t>
  </si>
  <si>
    <t xml:space="preserve">Customer Focus</t>
  </si>
  <si>
    <t xml:space="preserve">Team Player</t>
  </si>
  <si>
    <t xml:space="preserve">Communications — Oral</t>
  </si>
  <si>
    <t xml:space="preserve">Communications — Written</t>
  </si>
  <si>
    <t xml:space="preserve">Negotiation</t>
  </si>
  <si>
    <t xml:space="preserve">Persuasion</t>
  </si>
  <si>
    <t xml:space="preserve">Goal Setting</t>
  </si>
  <si>
    <t xml:space="preserve">Management</t>
  </si>
  <si>
    <t xml:space="preserve">Energy</t>
  </si>
  <si>
    <t xml:space="preserve">Motivational</t>
  </si>
  <si>
    <t xml:space="preserve">Passion</t>
  </si>
  <si>
    <t xml:space="preserve">Ambition</t>
  </si>
  <si>
    <t xml:space="preserve">Tenacity</t>
  </si>
  <si>
    <t xml:space="preserve">SECTION SUMMARY</t>
  </si>
  <si>
    <t xml:space="preserve">SUM</t>
  </si>
  <si>
    <t xml:space="preserve">AVG</t>
  </si>
  <si>
    <t xml:space="preserve">STATUS</t>
  </si>
  <si>
    <t xml:space="preserve">OVERALL REPORT</t>
  </si>
  <si>
    <t xml:space="preserve">FORGE — Competency Scorecard Instructions</t>
  </si>
  <si>
    <t xml:space="preserve">HOW TO USE THIS SCORECARD</t>
  </si>
  <si>
    <t xml:space="preserve">1. Fill in Candidate Name, Interviewer, Position, and Date at the top of the Scorecard tab.</t>
  </si>
  <si>
    <t xml:space="preserve">2. After completing the competency interview, rate each of the 33 competencies on a scale of 1–6:</t>
  </si>
  <si>
    <t xml:space="preserve">   6 = Excellent</t>
  </si>
  <si>
    <t xml:space="preserve">   5 = Very Good</t>
  </si>
  <si>
    <t xml:space="preserve">   4 = Good</t>
  </si>
  <si>
    <t xml:space="preserve">   3 = Only Fair</t>
  </si>
  <si>
    <t xml:space="preserve">   2 = Poor</t>
  </si>
  <si>
    <t xml:space="preserve">   1 = Very Poor</t>
  </si>
  <si>
    <t xml:space="preserve">3. The Gap column auto-calculates (Your Rating minus Minimum Rating). Negative gaps flag weak areas.</t>
  </si>
  <si>
    <t xml:space="preserve">4. Pass / Fail auto-fills: PASS = meets or exceeds minimum, FAIL = below minimum.</t>
  </si>
  <si>
    <t xml:space="preserve">5. Section summaries auto-calculate at the bottom. Use the Overall AVG to guide your decision:</t>
  </si>
  <si>
    <t xml:space="preserve">   4.0+ = HIRE</t>
  </si>
  <si>
    <t xml:space="preserve">   3.0–3.9 = CONSIDER (dig deeper)</t>
  </si>
  <si>
    <t xml:space="preserve">   Below 3.0 = DO NOT HIRE</t>
  </si>
  <si>
    <t xml:space="preserve">KEY RULES</t>
  </si>
  <si>
    <t xml:space="preserve">• Integrity is a hard floor — any rating below 6 on Integrity is a major red flag.</t>
  </si>
  <si>
    <t xml:space="preserve">• Track Record and Phone Communication require a minimum of 5 — non-negotiable for most roles.</t>
  </si>
  <si>
    <t xml:space="preserve">• Add notes in the Notes column for any rating below minimum — document why.</t>
  </si>
  <si>
    <t xml:space="preserve">• Run this scorecard for each finalist candidate and compare totals side-by-side.</t>
  </si>
  <si>
    <t xml:space="preserve">FORGE  |  Powered by ARIS  |  ForgedByAris.com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</si>
</sst>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C89B3C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3"/>
      <color rgb="FF0D1B2A"/>
      <name val="Arial"/>
      <family val="0"/>
      <charset val="1"/>
    </font>
    <font>
      <sz val="10"/>
      <color rgb="FFC89B3C"/>
      <name val="Arial"/>
      <family val="0"/>
      <charset val="1"/>
    </font>
    <font>
      <sz val="10"/>
      <color rgb="FFFF6B2B"/>
      <name val="Arial"/>
      <family val="0"/>
      <charset val="1"/>
    </font>
    <font>
      <sz val="10"/>
      <color rgb="FFCC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5F5F5"/>
        <bgColor rgb="FFFDF2E9"/>
      </patternFill>
    </fill>
    <fill>
      <patternFill patternType="solid">
        <fgColor rgb="FFEAF2FB"/>
        <bgColor rgb="FFEBF5EB"/>
      </patternFill>
    </fill>
    <fill>
      <patternFill patternType="solid">
        <fgColor rgb="FFEBF5EB"/>
        <bgColor rgb="FFEAF2FB"/>
      </patternFill>
    </fill>
    <fill>
      <patternFill patternType="solid">
        <fgColor rgb="FFFEF9E7"/>
        <bgColor rgb="FFFDF2E9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DEDEC"/>
      </patternFill>
    </fill>
    <fill>
      <patternFill patternType="solid">
        <fgColor rgb="FFFDF2E9"/>
        <bgColor rgb="FFFDEDE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9E7"/>
      <rgbColor rgb="FFEAF2FB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EB"/>
      <rgbColor rgb="FFF5F5F5"/>
      <rgbColor rgb="FFFDF2E9"/>
      <rgbColor rgb="FF99CCFF"/>
      <rgbColor rgb="FFFF99CC"/>
      <rgbColor rgb="FFCC99FF"/>
      <rgbColor rgb="FFFDEDEC"/>
      <rgbColor rgb="FF3366FF"/>
      <rgbColor rgb="FF33CCCC"/>
      <rgbColor rgb="FF99CC00"/>
      <rgbColor rgb="FFFFCC00"/>
      <rgbColor rgb="FFC89B3C"/>
      <rgbColor rgb="FFFF6B2B"/>
      <rgbColor rgb="FF666699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 t="s">
        <v>3</v>
      </c>
      <c r="F3" s="3"/>
      <c r="G3" s="3"/>
      <c r="H3" s="3"/>
    </row>
    <row r="4" customFormat="false" ht="19.5" hidden="false" customHeight="true" outlineLevel="0" collapsed="false">
      <c r="A4" s="3" t="s">
        <v>4</v>
      </c>
      <c r="B4" s="3"/>
      <c r="C4" s="3"/>
      <c r="D4" s="3"/>
      <c r="E4" s="3" t="s">
        <v>5</v>
      </c>
      <c r="F4" s="3"/>
      <c r="G4" s="3"/>
      <c r="H4" s="3"/>
    </row>
    <row r="5" customFormat="false" ht="21.75" hidden="false" customHeight="true" outlineLevel="0" collapsed="false">
      <c r="A5" s="4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</row>
    <row r="6" customFormat="false" ht="15" hidden="false" customHeight="false" outlineLevel="0" collapsed="false">
      <c r="A6" s="5" t="n">
        <v>1</v>
      </c>
      <c r="B6" s="6" t="s">
        <v>14</v>
      </c>
      <c r="C6" s="6" t="s">
        <v>15</v>
      </c>
      <c r="D6" s="5" t="n">
        <v>5</v>
      </c>
      <c r="E6" s="7"/>
      <c r="F6" s="5" t="str">
        <f aca="false">IF(E6="","",E6-D6)</f>
        <v/>
      </c>
      <c r="G6" s="5" t="str">
        <f aca="false">IF(E6="","—",IF(E6&gt;=D6,"PASS","FAIL"))</f>
        <v>—</v>
      </c>
      <c r="H6" s="6"/>
    </row>
    <row r="7" customFormat="false" ht="15" hidden="false" customHeight="false" outlineLevel="0" collapsed="false">
      <c r="A7" s="5" t="n">
        <v>2</v>
      </c>
      <c r="B7" s="6" t="s">
        <v>16</v>
      </c>
      <c r="C7" s="6" t="s">
        <v>15</v>
      </c>
      <c r="D7" s="5" t="n">
        <v>5</v>
      </c>
      <c r="E7" s="7"/>
      <c r="F7" s="5" t="str">
        <f aca="false">IF(E7="","",E7-D7)</f>
        <v/>
      </c>
      <c r="G7" s="5" t="str">
        <f aca="false">IF(E7="","—",IF(E7&gt;=D7,"PASS","FAIL"))</f>
        <v>—</v>
      </c>
      <c r="H7" s="6"/>
    </row>
    <row r="8" customFormat="false" ht="15" hidden="false" customHeight="false" outlineLevel="0" collapsed="false">
      <c r="A8" s="5" t="n">
        <v>3</v>
      </c>
      <c r="B8" s="6" t="s">
        <v>17</v>
      </c>
      <c r="C8" s="6" t="s">
        <v>15</v>
      </c>
      <c r="D8" s="5" t="n">
        <v>4</v>
      </c>
      <c r="E8" s="7"/>
      <c r="F8" s="5" t="str">
        <f aca="false">IF(E8="","",E8-D8)</f>
        <v/>
      </c>
      <c r="G8" s="5" t="str">
        <f aca="false">IF(E8="","—",IF(E8&gt;=D8,"PASS","FAIL"))</f>
        <v>—</v>
      </c>
      <c r="H8" s="6"/>
    </row>
    <row r="9" customFormat="false" ht="15" hidden="false" customHeight="false" outlineLevel="0" collapsed="false">
      <c r="A9" s="5" t="n">
        <v>4</v>
      </c>
      <c r="B9" s="6" t="s">
        <v>18</v>
      </c>
      <c r="C9" s="6" t="s">
        <v>15</v>
      </c>
      <c r="D9" s="5" t="n">
        <v>4</v>
      </c>
      <c r="E9" s="7"/>
      <c r="F9" s="5" t="str">
        <f aca="false">IF(E9="","",E9-D9)</f>
        <v/>
      </c>
      <c r="G9" s="5" t="str">
        <f aca="false">IF(E9="","—",IF(E9&gt;=D9,"PASS","FAIL"))</f>
        <v>—</v>
      </c>
      <c r="H9" s="6"/>
    </row>
    <row r="10" customFormat="false" ht="15" hidden="false" customHeight="false" outlineLevel="0" collapsed="false">
      <c r="A10" s="5" t="n">
        <v>5</v>
      </c>
      <c r="B10" s="6" t="s">
        <v>19</v>
      </c>
      <c r="C10" s="6" t="s">
        <v>15</v>
      </c>
      <c r="D10" s="5" t="n">
        <v>4</v>
      </c>
      <c r="E10" s="7"/>
      <c r="F10" s="5" t="str">
        <f aca="false">IF(E10="","",E10-D10)</f>
        <v/>
      </c>
      <c r="G10" s="5" t="str">
        <f aca="false">IF(E10="","—",IF(E10&gt;=D10,"PASS","FAIL"))</f>
        <v>—</v>
      </c>
      <c r="H10" s="6"/>
    </row>
    <row r="11" customFormat="false" ht="15" hidden="false" customHeight="false" outlineLevel="0" collapsed="false">
      <c r="A11" s="5" t="n">
        <v>6</v>
      </c>
      <c r="B11" s="6" t="s">
        <v>20</v>
      </c>
      <c r="C11" s="6" t="s">
        <v>15</v>
      </c>
      <c r="D11" s="5" t="n">
        <v>4</v>
      </c>
      <c r="E11" s="7"/>
      <c r="F11" s="5" t="str">
        <f aca="false">IF(E11="","",E11-D11)</f>
        <v/>
      </c>
      <c r="G11" s="5" t="str">
        <f aca="false">IF(E11="","—",IF(E11&gt;=D11,"PASS","FAIL"))</f>
        <v>—</v>
      </c>
      <c r="H11" s="6"/>
    </row>
    <row r="12" customFormat="false" ht="15" hidden="false" customHeight="false" outlineLevel="0" collapsed="false">
      <c r="A12" s="5" t="n">
        <v>7</v>
      </c>
      <c r="B12" s="6" t="s">
        <v>21</v>
      </c>
      <c r="C12" s="6" t="s">
        <v>15</v>
      </c>
      <c r="D12" s="5" t="n">
        <v>4</v>
      </c>
      <c r="E12" s="7"/>
      <c r="F12" s="5" t="str">
        <f aca="false">IF(E12="","",E12-D12)</f>
        <v/>
      </c>
      <c r="G12" s="5" t="str">
        <f aca="false">IF(E12="","—",IF(E12&gt;=D12,"PASS","FAIL"))</f>
        <v>—</v>
      </c>
      <c r="H12" s="6"/>
    </row>
    <row r="13" customFormat="false" ht="15" hidden="false" customHeight="false" outlineLevel="0" collapsed="false">
      <c r="A13" s="8" t="n">
        <v>8</v>
      </c>
      <c r="B13" s="9" t="s">
        <v>22</v>
      </c>
      <c r="C13" s="9" t="s">
        <v>23</v>
      </c>
      <c r="D13" s="8" t="n">
        <v>4</v>
      </c>
      <c r="E13" s="10"/>
      <c r="F13" s="8" t="str">
        <f aca="false">IF(E13="","",E13-D13)</f>
        <v/>
      </c>
      <c r="G13" s="8" t="str">
        <f aca="false">IF(E13="","—",IF(E13&gt;=D13,"PASS","FAIL"))</f>
        <v>—</v>
      </c>
      <c r="H13" s="9"/>
    </row>
    <row r="14" customFormat="false" ht="15" hidden="false" customHeight="false" outlineLevel="0" collapsed="false">
      <c r="A14" s="8" t="n">
        <v>9</v>
      </c>
      <c r="B14" s="9" t="s">
        <v>24</v>
      </c>
      <c r="C14" s="9" t="s">
        <v>23</v>
      </c>
      <c r="D14" s="8" t="n">
        <v>3</v>
      </c>
      <c r="E14" s="10"/>
      <c r="F14" s="8" t="str">
        <f aca="false">IF(E14="","",E14-D14)</f>
        <v/>
      </c>
      <c r="G14" s="8" t="str">
        <f aca="false">IF(E14="","—",IF(E14&gt;=D14,"PASS","FAIL"))</f>
        <v>—</v>
      </c>
      <c r="H14" s="9"/>
    </row>
    <row r="15" customFormat="false" ht="15" hidden="false" customHeight="false" outlineLevel="0" collapsed="false">
      <c r="A15" s="8" t="n">
        <v>10</v>
      </c>
      <c r="B15" s="9" t="s">
        <v>25</v>
      </c>
      <c r="C15" s="9" t="s">
        <v>23</v>
      </c>
      <c r="D15" s="8" t="n">
        <v>3</v>
      </c>
      <c r="E15" s="10"/>
      <c r="F15" s="8" t="str">
        <f aca="false">IF(E15="","",E15-D15)</f>
        <v/>
      </c>
      <c r="G15" s="8" t="str">
        <f aca="false">IF(E15="","—",IF(E15&gt;=D15,"PASS","FAIL"))</f>
        <v>—</v>
      </c>
      <c r="H15" s="9"/>
    </row>
    <row r="16" customFormat="false" ht="15" hidden="false" customHeight="false" outlineLevel="0" collapsed="false">
      <c r="A16" s="8" t="n">
        <v>11</v>
      </c>
      <c r="B16" s="9" t="s">
        <v>26</v>
      </c>
      <c r="C16" s="9" t="s">
        <v>23</v>
      </c>
      <c r="D16" s="8" t="n">
        <v>2</v>
      </c>
      <c r="E16" s="10"/>
      <c r="F16" s="8" t="str">
        <f aca="false">IF(E16="","",E16-D16)</f>
        <v/>
      </c>
      <c r="G16" s="8" t="str">
        <f aca="false">IF(E16="","—",IF(E16&gt;=D16,"PASS","FAIL"))</f>
        <v>—</v>
      </c>
      <c r="H16" s="9"/>
    </row>
    <row r="17" customFormat="false" ht="15" hidden="false" customHeight="false" outlineLevel="0" collapsed="false">
      <c r="A17" s="11" t="n">
        <v>12</v>
      </c>
      <c r="B17" s="12" t="s">
        <v>27</v>
      </c>
      <c r="C17" s="12" t="s">
        <v>28</v>
      </c>
      <c r="D17" s="11" t="n">
        <v>6</v>
      </c>
      <c r="E17" s="13"/>
      <c r="F17" s="11" t="str">
        <f aca="false">IF(E17="","",E17-D17)</f>
        <v/>
      </c>
      <c r="G17" s="11" t="str">
        <f aca="false">IF(E17="","—",IF(E17&gt;=D17,"PASS","FAIL"))</f>
        <v>—</v>
      </c>
      <c r="H17" s="12"/>
    </row>
    <row r="18" customFormat="false" ht="15" hidden="false" customHeight="false" outlineLevel="0" collapsed="false">
      <c r="A18" s="11" t="n">
        <v>13</v>
      </c>
      <c r="B18" s="12" t="s">
        <v>29</v>
      </c>
      <c r="C18" s="12" t="s">
        <v>28</v>
      </c>
      <c r="D18" s="11" t="n">
        <v>4</v>
      </c>
      <c r="E18" s="13"/>
      <c r="F18" s="11" t="str">
        <f aca="false">IF(E18="","",E18-D18)</f>
        <v/>
      </c>
      <c r="G18" s="11" t="str">
        <f aca="false">IF(E18="","—",IF(E18&gt;=D18,"PASS","FAIL"))</f>
        <v>—</v>
      </c>
      <c r="H18" s="12"/>
    </row>
    <row r="19" customFormat="false" ht="15" hidden="false" customHeight="false" outlineLevel="0" collapsed="false">
      <c r="A19" s="11" t="n">
        <v>14</v>
      </c>
      <c r="B19" s="12" t="s">
        <v>30</v>
      </c>
      <c r="C19" s="12" t="s">
        <v>28</v>
      </c>
      <c r="D19" s="11" t="n">
        <v>4</v>
      </c>
      <c r="E19" s="13"/>
      <c r="F19" s="11" t="str">
        <f aca="false">IF(E19="","",E19-D19)</f>
        <v/>
      </c>
      <c r="G19" s="11" t="str">
        <f aca="false">IF(E19="","—",IF(E19&gt;=D19,"PASS","FAIL"))</f>
        <v>—</v>
      </c>
      <c r="H19" s="12"/>
    </row>
    <row r="20" customFormat="false" ht="15" hidden="false" customHeight="false" outlineLevel="0" collapsed="false">
      <c r="A20" s="11" t="n">
        <v>15</v>
      </c>
      <c r="B20" s="12" t="s">
        <v>31</v>
      </c>
      <c r="C20" s="12" t="s">
        <v>28</v>
      </c>
      <c r="D20" s="11" t="n">
        <v>4</v>
      </c>
      <c r="E20" s="13"/>
      <c r="F20" s="11" t="str">
        <f aca="false">IF(E20="","",E20-D20)</f>
        <v/>
      </c>
      <c r="G20" s="11" t="str">
        <f aca="false">IF(E20="","—",IF(E20&gt;=D20,"PASS","FAIL"))</f>
        <v>—</v>
      </c>
      <c r="H20" s="12"/>
    </row>
    <row r="21" customFormat="false" ht="15" hidden="false" customHeight="false" outlineLevel="0" collapsed="false">
      <c r="A21" s="11" t="n">
        <v>16</v>
      </c>
      <c r="B21" s="12" t="s">
        <v>32</v>
      </c>
      <c r="C21" s="12" t="s">
        <v>28</v>
      </c>
      <c r="D21" s="11" t="n">
        <v>3</v>
      </c>
      <c r="E21" s="13"/>
      <c r="F21" s="11" t="str">
        <f aca="false">IF(E21="","",E21-D21)</f>
        <v/>
      </c>
      <c r="G21" s="11" t="str">
        <f aca="false">IF(E21="","—",IF(E21&gt;=D21,"PASS","FAIL"))</f>
        <v>—</v>
      </c>
      <c r="H21" s="12"/>
    </row>
    <row r="22" customFormat="false" ht="15" hidden="false" customHeight="false" outlineLevel="0" collapsed="false">
      <c r="A22" s="11" t="n">
        <v>17</v>
      </c>
      <c r="B22" s="12" t="s">
        <v>33</v>
      </c>
      <c r="C22" s="12" t="s">
        <v>28</v>
      </c>
      <c r="D22" s="11" t="n">
        <v>3</v>
      </c>
      <c r="E22" s="13"/>
      <c r="F22" s="11" t="str">
        <f aca="false">IF(E22="","",E22-D22)</f>
        <v/>
      </c>
      <c r="G22" s="11" t="str">
        <f aca="false">IF(E22="","—",IF(E22&gt;=D22,"PASS","FAIL"))</f>
        <v>—</v>
      </c>
      <c r="H22" s="12"/>
    </row>
    <row r="23" customFormat="false" ht="15" hidden="false" customHeight="false" outlineLevel="0" collapsed="false">
      <c r="A23" s="11" t="n">
        <v>18</v>
      </c>
      <c r="B23" s="12" t="s">
        <v>34</v>
      </c>
      <c r="C23" s="12" t="s">
        <v>28</v>
      </c>
      <c r="D23" s="11" t="n">
        <v>4</v>
      </c>
      <c r="E23" s="13"/>
      <c r="F23" s="11" t="str">
        <f aca="false">IF(E23="","",E23-D23)</f>
        <v/>
      </c>
      <c r="G23" s="11" t="str">
        <f aca="false">IF(E23="","—",IF(E23&gt;=D23,"PASS","FAIL"))</f>
        <v>—</v>
      </c>
      <c r="H23" s="12"/>
    </row>
    <row r="24" customFormat="false" ht="15" hidden="false" customHeight="false" outlineLevel="0" collapsed="false">
      <c r="A24" s="11" t="n">
        <v>19</v>
      </c>
      <c r="B24" s="12" t="s">
        <v>35</v>
      </c>
      <c r="C24" s="12" t="s">
        <v>28</v>
      </c>
      <c r="D24" s="11" t="n">
        <v>3</v>
      </c>
      <c r="E24" s="13"/>
      <c r="F24" s="11" t="str">
        <f aca="false">IF(E24="","",E24-D24)</f>
        <v/>
      </c>
      <c r="G24" s="11" t="str">
        <f aca="false">IF(E24="","—",IF(E24&gt;=D24,"PASS","FAIL"))</f>
        <v>—</v>
      </c>
      <c r="H24" s="12"/>
    </row>
    <row r="25" customFormat="false" ht="15" hidden="false" customHeight="false" outlineLevel="0" collapsed="false">
      <c r="A25" s="11" t="n">
        <v>20</v>
      </c>
      <c r="B25" s="12" t="s">
        <v>36</v>
      </c>
      <c r="C25" s="12" t="s">
        <v>28</v>
      </c>
      <c r="D25" s="11" t="n">
        <v>3</v>
      </c>
      <c r="E25" s="13"/>
      <c r="F25" s="11" t="str">
        <f aca="false">IF(E25="","",E25-D25)</f>
        <v/>
      </c>
      <c r="G25" s="11" t="str">
        <f aca="false">IF(E25="","—",IF(E25&gt;=D25,"PASS","FAIL"))</f>
        <v>—</v>
      </c>
      <c r="H25" s="12"/>
    </row>
    <row r="26" customFormat="false" ht="15" hidden="false" customHeight="false" outlineLevel="0" collapsed="false">
      <c r="A26" s="14" t="n">
        <v>21</v>
      </c>
      <c r="B26" s="15" t="s">
        <v>37</v>
      </c>
      <c r="C26" s="15" t="s">
        <v>38</v>
      </c>
      <c r="D26" s="14" t="n">
        <v>3</v>
      </c>
      <c r="E26" s="16"/>
      <c r="F26" s="14" t="str">
        <f aca="false">IF(E26="","",E26-D26)</f>
        <v/>
      </c>
      <c r="G26" s="14" t="str">
        <f aca="false">IF(E26="","—",IF(E26&gt;=D26,"PASS","FAIL"))</f>
        <v>—</v>
      </c>
      <c r="H26" s="15"/>
    </row>
    <row r="27" customFormat="false" ht="15" hidden="false" customHeight="false" outlineLevel="0" collapsed="false">
      <c r="A27" s="14" t="n">
        <v>22</v>
      </c>
      <c r="B27" s="15" t="s">
        <v>39</v>
      </c>
      <c r="C27" s="15" t="s">
        <v>38</v>
      </c>
      <c r="D27" s="14" t="n">
        <v>4</v>
      </c>
      <c r="E27" s="16"/>
      <c r="F27" s="14" t="str">
        <f aca="false">IF(E27="","",E27-D27)</f>
        <v/>
      </c>
      <c r="G27" s="14" t="str">
        <f aca="false">IF(E27="","—",IF(E27&gt;=D27,"PASS","FAIL"))</f>
        <v>—</v>
      </c>
      <c r="H27" s="15"/>
    </row>
    <row r="28" customFormat="false" ht="15" hidden="false" customHeight="false" outlineLevel="0" collapsed="false">
      <c r="A28" s="14" t="n">
        <v>23</v>
      </c>
      <c r="B28" s="15" t="s">
        <v>40</v>
      </c>
      <c r="C28" s="15" t="s">
        <v>38</v>
      </c>
      <c r="D28" s="14" t="n">
        <v>3</v>
      </c>
      <c r="E28" s="16"/>
      <c r="F28" s="14" t="str">
        <f aca="false">IF(E28="","",E28-D28)</f>
        <v/>
      </c>
      <c r="G28" s="14" t="str">
        <f aca="false">IF(E28="","—",IF(E28&gt;=D28,"PASS","FAIL"))</f>
        <v>—</v>
      </c>
      <c r="H28" s="15"/>
    </row>
    <row r="29" customFormat="false" ht="15" hidden="false" customHeight="false" outlineLevel="0" collapsed="false">
      <c r="A29" s="14" t="n">
        <v>24</v>
      </c>
      <c r="B29" s="15" t="s">
        <v>41</v>
      </c>
      <c r="C29" s="15" t="s">
        <v>38</v>
      </c>
      <c r="D29" s="14" t="n">
        <v>4</v>
      </c>
      <c r="E29" s="16"/>
      <c r="F29" s="14" t="str">
        <f aca="false">IF(E29="","",E29-D29)</f>
        <v/>
      </c>
      <c r="G29" s="14" t="str">
        <f aca="false">IF(E29="","—",IF(E29&gt;=D29,"PASS","FAIL"))</f>
        <v>—</v>
      </c>
      <c r="H29" s="15"/>
    </row>
    <row r="30" customFormat="false" ht="15" hidden="false" customHeight="false" outlineLevel="0" collapsed="false">
      <c r="A30" s="14" t="n">
        <v>25</v>
      </c>
      <c r="B30" s="15" t="s">
        <v>42</v>
      </c>
      <c r="C30" s="15" t="s">
        <v>38</v>
      </c>
      <c r="D30" s="14" t="n">
        <v>4</v>
      </c>
      <c r="E30" s="16"/>
      <c r="F30" s="14" t="str">
        <f aca="false">IF(E30="","",E30-D30)</f>
        <v/>
      </c>
      <c r="G30" s="14" t="str">
        <f aca="false">IF(E30="","—",IF(E30&gt;=D30,"PASS","FAIL"))</f>
        <v>—</v>
      </c>
      <c r="H30" s="15"/>
    </row>
    <row r="31" customFormat="false" ht="15" hidden="false" customHeight="false" outlineLevel="0" collapsed="false">
      <c r="A31" s="14" t="n">
        <v>26</v>
      </c>
      <c r="B31" s="15" t="s">
        <v>43</v>
      </c>
      <c r="C31" s="15" t="s">
        <v>38</v>
      </c>
      <c r="D31" s="14" t="n">
        <v>3</v>
      </c>
      <c r="E31" s="16"/>
      <c r="F31" s="14" t="str">
        <f aca="false">IF(E31="","",E31-D31)</f>
        <v/>
      </c>
      <c r="G31" s="14" t="str">
        <f aca="false">IF(E31="","—",IF(E31&gt;=D31,"PASS","FAIL"))</f>
        <v>—</v>
      </c>
      <c r="H31" s="15"/>
    </row>
    <row r="32" customFormat="false" ht="15" hidden="false" customHeight="false" outlineLevel="0" collapsed="false">
      <c r="A32" s="14" t="n">
        <v>27</v>
      </c>
      <c r="B32" s="15" t="s">
        <v>44</v>
      </c>
      <c r="C32" s="15" t="s">
        <v>38</v>
      </c>
      <c r="D32" s="14" t="n">
        <v>4</v>
      </c>
      <c r="E32" s="16"/>
      <c r="F32" s="14" t="str">
        <f aca="false">IF(E32="","",E32-D32)</f>
        <v/>
      </c>
      <c r="G32" s="14" t="str">
        <f aca="false">IF(E32="","—",IF(E32&gt;=D32,"PASS","FAIL"))</f>
        <v>—</v>
      </c>
      <c r="H32" s="15"/>
    </row>
    <row r="33" customFormat="false" ht="15" hidden="false" customHeight="false" outlineLevel="0" collapsed="false">
      <c r="A33" s="14" t="n">
        <v>28</v>
      </c>
      <c r="B33" s="15" t="s">
        <v>45</v>
      </c>
      <c r="C33" s="15" t="s">
        <v>38</v>
      </c>
      <c r="D33" s="14" t="n">
        <v>4</v>
      </c>
      <c r="E33" s="16"/>
      <c r="F33" s="14" t="str">
        <f aca="false">IF(E33="","",E33-D33)</f>
        <v/>
      </c>
      <c r="G33" s="14" t="str">
        <f aca="false">IF(E33="","—",IF(E33&gt;=D33,"PASS","FAIL"))</f>
        <v>—</v>
      </c>
      <c r="H33" s="15"/>
    </row>
    <row r="34" customFormat="false" ht="15" hidden="false" customHeight="false" outlineLevel="0" collapsed="false">
      <c r="A34" s="17" t="n">
        <v>29</v>
      </c>
      <c r="B34" s="18" t="s">
        <v>46</v>
      </c>
      <c r="C34" s="18" t="s">
        <v>47</v>
      </c>
      <c r="D34" s="17" t="n">
        <v>3</v>
      </c>
      <c r="E34" s="19"/>
      <c r="F34" s="17" t="str">
        <f aca="false">IF(E34="","",E34-D34)</f>
        <v/>
      </c>
      <c r="G34" s="17" t="str">
        <f aca="false">IF(E34="","—",IF(E34&gt;=D34,"PASS","FAIL"))</f>
        <v>—</v>
      </c>
      <c r="H34" s="18"/>
    </row>
    <row r="35" customFormat="false" ht="15" hidden="false" customHeight="false" outlineLevel="0" collapsed="false">
      <c r="A35" s="20" t="n">
        <v>30</v>
      </c>
      <c r="B35" s="21" t="s">
        <v>48</v>
      </c>
      <c r="C35" s="21" t="s">
        <v>49</v>
      </c>
      <c r="D35" s="20" t="n">
        <v>4</v>
      </c>
      <c r="E35" s="22"/>
      <c r="F35" s="20" t="str">
        <f aca="false">IF(E35="","",E35-D35)</f>
        <v/>
      </c>
      <c r="G35" s="20" t="str">
        <f aca="false">IF(E35="","—",IF(E35&gt;=D35,"PASS","FAIL"))</f>
        <v>—</v>
      </c>
      <c r="H35" s="21"/>
    </row>
    <row r="36" customFormat="false" ht="15" hidden="false" customHeight="false" outlineLevel="0" collapsed="false">
      <c r="A36" s="20" t="n">
        <v>31</v>
      </c>
      <c r="B36" s="21" t="s">
        <v>50</v>
      </c>
      <c r="C36" s="21" t="s">
        <v>49</v>
      </c>
      <c r="D36" s="20" t="n">
        <v>4</v>
      </c>
      <c r="E36" s="22"/>
      <c r="F36" s="20" t="str">
        <f aca="false">IF(E36="","",E36-D36)</f>
        <v/>
      </c>
      <c r="G36" s="20" t="str">
        <f aca="false">IF(E36="","—",IF(E36&gt;=D36,"PASS","FAIL"))</f>
        <v>—</v>
      </c>
      <c r="H36" s="21"/>
    </row>
    <row r="37" customFormat="false" ht="15" hidden="false" customHeight="false" outlineLevel="0" collapsed="false">
      <c r="A37" s="20" t="n">
        <v>32</v>
      </c>
      <c r="B37" s="21" t="s">
        <v>51</v>
      </c>
      <c r="C37" s="21" t="s">
        <v>49</v>
      </c>
      <c r="D37" s="20" t="n">
        <v>3</v>
      </c>
      <c r="E37" s="22"/>
      <c r="F37" s="20" t="str">
        <f aca="false">IF(E37="","",E37-D37)</f>
        <v/>
      </c>
      <c r="G37" s="20" t="str">
        <f aca="false">IF(E37="","—",IF(E37&gt;=D37,"PASS","FAIL"))</f>
        <v>—</v>
      </c>
      <c r="H37" s="21"/>
    </row>
    <row r="38" customFormat="false" ht="18" hidden="false" customHeight="true" outlineLevel="0" collapsed="false">
      <c r="A38" s="20" t="n">
        <v>33</v>
      </c>
      <c r="B38" s="21" t="s">
        <v>52</v>
      </c>
      <c r="C38" s="21" t="s">
        <v>49</v>
      </c>
      <c r="D38" s="20" t="n">
        <v>3</v>
      </c>
      <c r="E38" s="22"/>
      <c r="F38" s="20" t="str">
        <f aca="false">IF(E38="","",E38-D38)</f>
        <v/>
      </c>
      <c r="G38" s="20" t="str">
        <f aca="false">IF(E38="","—",IF(E38&gt;=D38,"PASS","FAIL"))</f>
        <v>—</v>
      </c>
      <c r="H38" s="21"/>
    </row>
    <row r="40" customFormat="false" ht="15" hidden="false" customHeight="true" outlineLevel="0" collapsed="false">
      <c r="A40" s="23" t="s">
        <v>53</v>
      </c>
      <c r="B40" s="23"/>
      <c r="C40" s="23"/>
      <c r="D40" s="23"/>
      <c r="E40" s="24" t="s">
        <v>54</v>
      </c>
      <c r="F40" s="24" t="s">
        <v>55</v>
      </c>
      <c r="G40" s="24" t="s">
        <v>56</v>
      </c>
      <c r="H40" s="25"/>
    </row>
    <row r="41" customFormat="false" ht="15" hidden="false" customHeight="true" outlineLevel="0" collapsed="false">
      <c r="A41" s="26" t="s">
        <v>15</v>
      </c>
      <c r="B41" s="26"/>
      <c r="C41" s="26"/>
      <c r="D41" s="26"/>
      <c r="E41" s="27" t="n">
        <f aca="false">IFERROR(SUM(E6,E7,E8,E9,E10,E11,E12),0)</f>
        <v>0</v>
      </c>
      <c r="F41" s="28" t="n">
        <f aca="false">IFERROR(E41/7,0)</f>
        <v>0</v>
      </c>
      <c r="G41" s="27" t="str">
        <f aca="false">IF(F41=0,"—",IF(F41&gt;=3.5,"STRONG","REVIEW"))</f>
        <v>—</v>
      </c>
      <c r="H41" s="29"/>
    </row>
    <row r="42" customFormat="false" ht="15" hidden="false" customHeight="true" outlineLevel="0" collapsed="false">
      <c r="A42" s="30" t="s">
        <v>23</v>
      </c>
      <c r="B42" s="30"/>
      <c r="C42" s="30"/>
      <c r="D42" s="30"/>
      <c r="E42" s="31" t="n">
        <f aca="false">IFERROR(SUM(E13,E14,E15,E16),0)</f>
        <v>0</v>
      </c>
      <c r="F42" s="32" t="n">
        <f aca="false">IFERROR(E42/4,0)</f>
        <v>0</v>
      </c>
      <c r="G42" s="31" t="str">
        <f aca="false">IF(F42=0,"—",IF(F42&gt;=3.5,"STRONG","REVIEW"))</f>
        <v>—</v>
      </c>
      <c r="H42" s="33"/>
    </row>
    <row r="43" customFormat="false" ht="15" hidden="false" customHeight="true" outlineLevel="0" collapsed="false">
      <c r="A43" s="34" t="s">
        <v>28</v>
      </c>
      <c r="B43" s="34"/>
      <c r="C43" s="34"/>
      <c r="D43" s="34"/>
      <c r="E43" s="35" t="n">
        <f aca="false">IFERROR(SUM(E17,E18,E19,E20,E21,E22,E23,E24,E25),0)</f>
        <v>0</v>
      </c>
      <c r="F43" s="36" t="n">
        <f aca="false">IFERROR(E43/9,0)</f>
        <v>0</v>
      </c>
      <c r="G43" s="35" t="str">
        <f aca="false">IF(F43=0,"—",IF(F43&gt;=3.5,"STRONG","REVIEW"))</f>
        <v>—</v>
      </c>
      <c r="H43" s="37"/>
    </row>
    <row r="44" customFormat="false" ht="15" hidden="false" customHeight="true" outlineLevel="0" collapsed="false">
      <c r="A44" s="38" t="s">
        <v>38</v>
      </c>
      <c r="B44" s="38"/>
      <c r="C44" s="38"/>
      <c r="D44" s="38"/>
      <c r="E44" s="39" t="n">
        <f aca="false">IFERROR(SUM(E26,E27,E28,E29,E30,E31,E32,E33),0)</f>
        <v>0</v>
      </c>
      <c r="F44" s="40" t="n">
        <f aca="false">IFERROR(E44/8,0)</f>
        <v>0</v>
      </c>
      <c r="G44" s="39" t="str">
        <f aca="false">IF(F44=0,"—",IF(F44&gt;=3.5,"STRONG","REVIEW"))</f>
        <v>—</v>
      </c>
      <c r="H44" s="41"/>
    </row>
    <row r="45" customFormat="false" ht="15" hidden="false" customHeight="true" outlineLevel="0" collapsed="false">
      <c r="A45" s="42" t="s">
        <v>47</v>
      </c>
      <c r="B45" s="42"/>
      <c r="C45" s="42"/>
      <c r="D45" s="42"/>
      <c r="E45" s="43" t="n">
        <f aca="false">IFERROR(SUM(E34),0)</f>
        <v>0</v>
      </c>
      <c r="F45" s="44" t="n">
        <f aca="false">IFERROR(E45/1,0)</f>
        <v>0</v>
      </c>
      <c r="G45" s="43" t="str">
        <f aca="false">IF(F45=0,"—",IF(F45&gt;=3.5,"STRONG","REVIEW"))</f>
        <v>—</v>
      </c>
      <c r="H45" s="45"/>
    </row>
    <row r="46" customFormat="false" ht="15" hidden="false" customHeight="true" outlineLevel="0" collapsed="false">
      <c r="A46" s="46" t="s">
        <v>49</v>
      </c>
      <c r="B46" s="46"/>
      <c r="C46" s="46"/>
      <c r="D46" s="46"/>
      <c r="E46" s="47" t="n">
        <f aca="false">IFERROR(SUM(E35,E36,E37,E38),0)</f>
        <v>0</v>
      </c>
      <c r="F46" s="48" t="n">
        <f aca="false">IFERROR(E46/4,0)</f>
        <v>0</v>
      </c>
      <c r="G46" s="47" t="str">
        <f aca="false">IF(F46=0,"—",IF(F46&gt;=3.5,"STRONG","REVIEW"))</f>
        <v>—</v>
      </c>
      <c r="H46" s="49"/>
    </row>
    <row r="47" customFormat="false" ht="15" hidden="false" customHeight="true" outlineLevel="0" collapsed="false">
      <c r="A47" s="50" t="s">
        <v>57</v>
      </c>
      <c r="B47" s="50"/>
      <c r="C47" s="50"/>
      <c r="D47" s="50"/>
      <c r="E47" s="24" t="n">
        <f aca="false">IFERROR(SUM(E6,E7,E8,E9,E10,E11,E12,E13,E14,E15,E16,E17,E18,E19,E20,E21,E22,E23,E24,E25,E26,E27,E28,E29,E30,E31,E32,E33,E34,E35,E36,E37,E38),0)</f>
        <v>0</v>
      </c>
      <c r="F47" s="51" t="n">
        <f aca="false">IFERROR(E47/33,0)</f>
        <v>0</v>
      </c>
      <c r="G47" s="24" t="str">
        <f aca="false">IF(F47=0,"—",IF(F47&gt;=4,"HIRE",IF(F47&gt;=3,"CONSIDER","DO NOT HIRE")))</f>
        <v>—</v>
      </c>
      <c r="H47" s="25"/>
    </row>
  </sheetData>
  <mergeCells count="14">
    <mergeCell ref="A1:H1"/>
    <mergeCell ref="A2:H2"/>
    <mergeCell ref="A3:D3"/>
    <mergeCell ref="E3:H3"/>
    <mergeCell ref="A4:D4"/>
    <mergeCell ref="E4:H4"/>
    <mergeCell ref="A40:D40"/>
    <mergeCell ref="A41:D41"/>
    <mergeCell ref="A42:D42"/>
    <mergeCell ref="A43:D43"/>
    <mergeCell ref="A44:D44"/>
    <mergeCell ref="A45:D45"/>
    <mergeCell ref="A46:D46"/>
    <mergeCell ref="A47:D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.75" hidden="false" customHeight="true" outlineLevel="0" collapsed="false">
      <c r="A1" s="52" t="s">
        <v>58</v>
      </c>
    </row>
    <row r="2" customFormat="false" ht="15.75" hidden="false" customHeight="true" outlineLevel="0" collapsed="false">
      <c r="A2" s="53"/>
    </row>
    <row r="3" customFormat="false" ht="15.75" hidden="false" customHeight="true" outlineLevel="0" collapsed="false">
      <c r="A3" s="54" t="s">
        <v>59</v>
      </c>
    </row>
    <row r="4" customFormat="false" ht="15.75" hidden="false" customHeight="true" outlineLevel="0" collapsed="false">
      <c r="A4" s="53" t="s">
        <v>60</v>
      </c>
    </row>
    <row r="5" customFormat="false" ht="15.75" hidden="false" customHeight="true" outlineLevel="0" collapsed="false">
      <c r="A5" s="53" t="s">
        <v>61</v>
      </c>
    </row>
    <row r="6" customFormat="false" ht="15.75" hidden="false" customHeight="true" outlineLevel="0" collapsed="false">
      <c r="A6" s="53" t="s">
        <v>62</v>
      </c>
    </row>
    <row r="7" customFormat="false" ht="15.75" hidden="false" customHeight="true" outlineLevel="0" collapsed="false">
      <c r="A7" s="53" t="s">
        <v>63</v>
      </c>
    </row>
    <row r="8" customFormat="false" ht="15.75" hidden="false" customHeight="true" outlineLevel="0" collapsed="false">
      <c r="A8" s="53" t="s">
        <v>64</v>
      </c>
    </row>
    <row r="9" customFormat="false" ht="15.75" hidden="false" customHeight="true" outlineLevel="0" collapsed="false">
      <c r="A9" s="53" t="s">
        <v>65</v>
      </c>
    </row>
    <row r="10" customFormat="false" ht="15.75" hidden="false" customHeight="true" outlineLevel="0" collapsed="false">
      <c r="A10" s="53" t="s">
        <v>66</v>
      </c>
    </row>
    <row r="11" customFormat="false" ht="15.75" hidden="false" customHeight="true" outlineLevel="0" collapsed="false">
      <c r="A11" s="53" t="s">
        <v>67</v>
      </c>
    </row>
    <row r="12" customFormat="false" ht="15.75" hidden="false" customHeight="true" outlineLevel="0" collapsed="false">
      <c r="A12" s="53" t="s">
        <v>68</v>
      </c>
    </row>
    <row r="13" customFormat="false" ht="15.75" hidden="false" customHeight="true" outlineLevel="0" collapsed="false">
      <c r="A13" s="53" t="s">
        <v>69</v>
      </c>
    </row>
    <row r="14" customFormat="false" ht="15.75" hidden="false" customHeight="true" outlineLevel="0" collapsed="false">
      <c r="A14" s="53" t="s">
        <v>70</v>
      </c>
    </row>
    <row r="15" customFormat="false" ht="15.75" hidden="false" customHeight="true" outlineLevel="0" collapsed="false">
      <c r="A15" s="55" t="s">
        <v>71</v>
      </c>
    </row>
    <row r="16" customFormat="false" ht="15.75" hidden="false" customHeight="true" outlineLevel="0" collapsed="false">
      <c r="A16" s="56" t="s">
        <v>72</v>
      </c>
    </row>
    <row r="17" customFormat="false" ht="15.75" hidden="false" customHeight="true" outlineLevel="0" collapsed="false">
      <c r="A17" s="57" t="s">
        <v>73</v>
      </c>
    </row>
    <row r="18" customFormat="false" ht="15.75" hidden="false" customHeight="true" outlineLevel="0" collapsed="false">
      <c r="A18" s="53"/>
    </row>
    <row r="19" customFormat="false" ht="15.75" hidden="false" customHeight="true" outlineLevel="0" collapsed="false">
      <c r="A19" s="54" t="s">
        <v>74</v>
      </c>
    </row>
    <row r="20" customFormat="false" ht="15.75" hidden="false" customHeight="true" outlineLevel="0" collapsed="false">
      <c r="A20" s="53" t="s">
        <v>75</v>
      </c>
    </row>
    <row r="21" customFormat="false" ht="15.75" hidden="false" customHeight="true" outlineLevel="0" collapsed="false">
      <c r="A21" s="53" t="s">
        <v>76</v>
      </c>
    </row>
    <row r="22" customFormat="false" ht="15.75" hidden="false" customHeight="true" outlineLevel="0" collapsed="false">
      <c r="A22" s="53" t="s">
        <v>77</v>
      </c>
    </row>
    <row r="23" customFormat="false" ht="15.75" hidden="false" customHeight="true" outlineLevel="0" collapsed="false">
      <c r="A23" s="53" t="s">
        <v>78</v>
      </c>
    </row>
    <row r="24" customFormat="false" ht="15.75" hidden="false" customHeight="true" outlineLevel="0" collapsed="false">
      <c r="A24" s="53"/>
    </row>
    <row r="25" customFormat="false" ht="15.75" hidden="false" customHeight="true" outlineLevel="0" collapsed="false">
      <c r="A25" s="5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2026-06-14T19:34:40Z</dcterms:created>
  <dc:creator>openpyxl</dc:creator>
  <dc:description/>
  <dc:language>en-US</dc:language>
  <cp:lastModifiedBy/>
  <dcterms:modified xsi:type="dcterms:W3CDTF">2026-06-14T19:34:40Z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