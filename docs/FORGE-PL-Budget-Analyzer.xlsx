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0D1B2A"/>
      <sz val="10"/>
    </font>
    <font>
      <name val="Arial"/>
      <color rgb="00000000"/>
      <sz val="10"/>
    </font>
    <font>
      <name val="Arial"/>
      <b val="1"/>
      <color rgb="00000000"/>
      <sz val="9"/>
    </font>
    <font>
      <name val="Arial"/>
      <color rgb="00C89B3C"/>
      <sz val="8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C89B3C"/>
      </patternFill>
    </fill>
    <fill>
      <patternFill patternType="solid">
        <fgColor rgb="00F2F4F6"/>
      </patternFill>
    </fill>
    <fill>
      <patternFill patternType="solid">
        <fgColor rgb="00FFFFFF"/>
      </patternFill>
    </fill>
    <fill>
      <patternFill patternType="solid">
        <fgColor rgb="00E8ED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 ht="30" customHeight="1">
      <c r="A1" s="1" t="inlineStr">
        <is>
          <t>FORGE — Property P&amp;L Budget Analyzer | Powered by ARIS | ForgedByAris.com</t>
        </is>
      </c>
    </row>
    <row r="2" ht="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0" customHeight="1"/>
    <row r="4" ht="22" customHeight="1">
      <c r="B4" s="3" t="inlineStr">
        <is>
          <t>PROPERTY DESCRIPTION</t>
        </is>
      </c>
      <c r="E4" s="3" t="inlineStr">
        <is>
          <t>PURCHASE INFORMATION</t>
        </is>
      </c>
      <c r="I4" s="3" t="inlineStr">
        <is>
          <t>QUICK MATH</t>
        </is>
      </c>
    </row>
    <row r="5" ht="18" customHeight="1">
      <c r="B5" s="4" t="inlineStr">
        <is>
          <t>Property Name</t>
        </is>
      </c>
      <c r="E5" s="5" t="inlineStr">
        <is>
          <t>Purchase Price</t>
        </is>
      </c>
      <c r="H5" s="6" t="n">
        <v>0</v>
      </c>
      <c r="I5" s="4" t="inlineStr">
        <is>
          <t>NOI</t>
        </is>
      </c>
      <c r="J5" s="6">
        <f>C32</f>
        <v/>
      </c>
    </row>
    <row r="6" ht="18" customHeight="1">
      <c r="B6" s="4" t="inlineStr">
        <is>
          <t>Property Type</t>
        </is>
      </c>
      <c r="E6" s="5" t="inlineStr">
        <is>
          <t>(+) Acquisition Costs</t>
        </is>
      </c>
      <c r="H6" s="6" t="n">
        <v>0</v>
      </c>
      <c r="I6" s="4" t="inlineStr">
        <is>
          <t>CAP Rate</t>
        </is>
      </c>
      <c r="J6" s="7">
        <f>IFERROR(C32/H5,"N/A")</f>
        <v/>
      </c>
    </row>
    <row r="7" ht="18" customHeight="1">
      <c r="B7" s="4" t="inlineStr">
        <is>
          <t>Address</t>
        </is>
      </c>
      <c r="E7" s="5" t="inlineStr">
        <is>
          <t>(+) Loan Fees / Costs</t>
        </is>
      </c>
      <c r="H7" s="6" t="n">
        <v>0</v>
      </c>
      <c r="I7" s="4" t="inlineStr">
        <is>
          <t>Cash-on-Cash</t>
        </is>
      </c>
      <c r="J7" s="7">
        <f>IFERROR(C38/H9,"N/A")</f>
        <v/>
      </c>
    </row>
    <row r="8" ht="18" customHeight="1">
      <c r="B8" s="4" t="inlineStr">
        <is>
          <t>City, State, Zip</t>
        </is>
      </c>
      <c r="E8" s="5" t="inlineStr">
        <is>
          <t>(-) Mortgages</t>
        </is>
      </c>
      <c r="H8" s="6" t="n">
        <v>0</v>
      </c>
      <c r="I8" s="4" t="inlineStr">
        <is>
          <t>DCR</t>
        </is>
      </c>
      <c r="J8" s="7">
        <f>IFERROR(C32/C34,"N/A")</f>
        <v/>
      </c>
    </row>
    <row r="9" ht="18" customHeight="1">
      <c r="B9" s="4" t="inlineStr">
        <is>
          <t>Property Size (SF)</t>
        </is>
      </c>
      <c r="E9" s="5" t="inlineStr">
        <is>
          <t>INITIAL INVESTMENT</t>
        </is>
      </c>
      <c r="H9" s="8">
        <f>H5+H6+H7-H8</f>
        <v/>
      </c>
    </row>
    <row r="10" ht="8" customHeight="1"/>
    <row r="11" ht="20" customHeight="1">
      <c r="B11" s="3" t="inlineStr">
        <is>
          <t>FINANCING</t>
        </is>
      </c>
    </row>
    <row r="12" ht="18" customHeight="1">
      <c r="B12" s="9" t="inlineStr">
        <is>
          <t>LIEN</t>
        </is>
      </c>
      <c r="C12" s="9" t="inlineStr">
        <is>
          <t>LTV</t>
        </is>
      </c>
      <c r="D12" s="9" t="inlineStr">
        <is>
          <t>LOAN AMT</t>
        </is>
      </c>
      <c r="E12" s="9" t="inlineStr">
        <is>
          <t>PMT/YR</t>
        </is>
      </c>
      <c r="F12" s="9" t="inlineStr">
        <is>
          <t>TERM (YRS)</t>
        </is>
      </c>
      <c r="G12" s="9" t="inlineStr">
        <is>
          <t>INT RATE</t>
        </is>
      </c>
      <c r="H12" s="9" t="inlineStr">
        <is>
          <t>AMORT</t>
        </is>
      </c>
      <c r="I12" s="9" t="inlineStr">
        <is>
          <t>PAYMENT</t>
        </is>
      </c>
    </row>
    <row r="13" ht="18" customHeight="1">
      <c r="B13" s="10" t="inlineStr">
        <is>
          <t>1st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>
        <f>IFERROR(-PMT(G13/12,H13*12,C13),0)</f>
        <v/>
      </c>
    </row>
    <row r="14" ht="18" customHeight="1">
      <c r="B14" s="10" t="inlineStr">
        <is>
          <t>2nd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>
        <f>IFERROR(-PMT(G14/12,H14*12,C14),0)</f>
        <v/>
      </c>
    </row>
    <row r="15" ht="18" customHeight="1">
      <c r="B15" s="10" t="inlineStr">
        <is>
          <t>TOTAL</t>
        </is>
      </c>
      <c r="C15" s="11">
        <f>C13+C14</f>
        <v/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>
        <f>I13+I14</f>
        <v/>
      </c>
    </row>
    <row r="16" ht="8" customHeight="1"/>
    <row r="17" ht="20" customHeight="1">
      <c r="B17" s="3" t="inlineStr">
        <is>
          <t>INCOME</t>
        </is>
      </c>
    </row>
    <row r="18" ht="18" customHeight="1">
      <c r="B18" s="9" t="inlineStr"/>
      <c r="C18" s="9" t="inlineStr">
        <is>
          <t>DESCRIPTION</t>
        </is>
      </c>
      <c r="D18" s="9" t="inlineStr">
        <is>
          <t>ANNUAL $</t>
        </is>
      </c>
      <c r="E18" s="9" t="inlineStr">
        <is>
          <t>MONTHLY $</t>
        </is>
      </c>
      <c r="F18" s="9" t="inlineStr">
        <is>
          <t>$/SF</t>
        </is>
      </c>
      <c r="G18" s="9" t="inlineStr">
        <is>
          <t>$/UNIT</t>
        </is>
      </c>
      <c r="H18" s="9" t="inlineStr">
        <is>
          <t>% GPRI</t>
        </is>
      </c>
      <c r="I18" s="9" t="inlineStr">
        <is>
          <t>NOTES</t>
        </is>
      </c>
    </row>
    <row r="19" ht="18" customHeight="1">
      <c r="B19" s="12" t="inlineStr"/>
      <c r="C19" s="13" t="inlineStr">
        <is>
          <t>Gross Potential Rent Income</t>
        </is>
      </c>
      <c r="D19" s="6" t="inlineStr"/>
      <c r="E19" s="6">
        <f>C19/12</f>
        <v/>
      </c>
    </row>
    <row r="20" ht="18" customHeight="1">
      <c r="B20" s="12" t="inlineStr">
        <is>
          <t>-</t>
        </is>
      </c>
      <c r="C20" s="13" t="inlineStr">
        <is>
          <t>Vacancy &amp; Credit Loss</t>
        </is>
      </c>
      <c r="D20" s="6">
        <f>C19*0.05</f>
        <v/>
      </c>
      <c r="E20" s="6">
        <f>C20/12</f>
        <v/>
      </c>
    </row>
    <row r="21" ht="18" customHeight="1">
      <c r="B21" s="10" t="inlineStr">
        <is>
          <t>=</t>
        </is>
      </c>
      <c r="C21" s="14" t="inlineStr">
        <is>
          <t>Effective Rental Income</t>
        </is>
      </c>
      <c r="D21" s="15">
        <f>C19-C20</f>
        <v/>
      </c>
      <c r="E21" s="15">
        <f>D21/12</f>
        <v/>
      </c>
    </row>
    <row r="22" ht="18" customHeight="1">
      <c r="B22" s="12" t="inlineStr">
        <is>
          <t>+</t>
        </is>
      </c>
      <c r="C22" s="13" t="inlineStr">
        <is>
          <t>Other Income</t>
        </is>
      </c>
      <c r="D22" s="6" t="inlineStr">
        <is>
          <t>0</t>
        </is>
      </c>
      <c r="E22" s="6">
        <f>C22/12</f>
        <v/>
      </c>
    </row>
    <row r="23" ht="18" customHeight="1">
      <c r="B23" s="10" t="inlineStr">
        <is>
          <t>=</t>
        </is>
      </c>
      <c r="C23" s="14" t="inlineStr">
        <is>
          <t>Gross Operating Income</t>
        </is>
      </c>
      <c r="D23" s="15">
        <f>C21+C22</f>
        <v/>
      </c>
      <c r="E23" s="15">
        <f>D23/12</f>
        <v/>
      </c>
    </row>
    <row r="24" ht="8" customHeight="1"/>
    <row r="25" ht="20" customHeight="1">
      <c r="B25" s="3" t="inlineStr">
        <is>
          <t>OPERATING EXPENSES</t>
        </is>
      </c>
    </row>
    <row r="26" ht="18" customHeight="1">
      <c r="B26" s="9" t="inlineStr"/>
      <c r="C26" s="9" t="inlineStr">
        <is>
          <t>DESCRIPTION</t>
        </is>
      </c>
      <c r="D26" s="9" t="inlineStr">
        <is>
          <t>ANNUAL $</t>
        </is>
      </c>
      <c r="E26" s="9" t="inlineStr">
        <is>
          <t>MONTHLY $</t>
        </is>
      </c>
      <c r="F26" s="9" t="inlineStr">
        <is>
          <t>% GOI</t>
        </is>
      </c>
      <c r="G26" s="9" t="inlineStr">
        <is>
          <t>% OPEX</t>
        </is>
      </c>
      <c r="H26" s="9" t="inlineStr"/>
      <c r="I26" s="9" t="inlineStr">
        <is>
          <t>NOTES</t>
        </is>
      </c>
    </row>
    <row r="27" ht="18" customHeight="1">
      <c r="B27" s="16" t="inlineStr"/>
      <c r="C27" s="13" t="inlineStr">
        <is>
          <t>Real Estate Taxes</t>
        </is>
      </c>
      <c r="D27" s="6" t="n">
        <v>0</v>
      </c>
      <c r="E27" s="6">
        <f>D27/12</f>
        <v/>
      </c>
      <c r="F27" s="16" t="inlineStr"/>
      <c r="G27" s="16" t="inlineStr"/>
      <c r="H27" s="16" t="inlineStr"/>
      <c r="I27" s="16" t="inlineStr"/>
    </row>
    <row r="28" ht="18" customHeight="1">
      <c r="B28" s="16" t="inlineStr"/>
      <c r="C28" s="13" t="inlineStr">
        <is>
          <t>Property Insurance</t>
        </is>
      </c>
      <c r="D28" s="6" t="n">
        <v>0</v>
      </c>
      <c r="E28" s="6">
        <f>D28/12</f>
        <v/>
      </c>
      <c r="F28" s="16" t="inlineStr"/>
      <c r="G28" s="16" t="inlineStr"/>
      <c r="H28" s="16" t="inlineStr"/>
      <c r="I28" s="16" t="inlineStr"/>
    </row>
    <row r="29" ht="18" customHeight="1">
      <c r="B29" s="16" t="inlineStr"/>
      <c r="C29" s="13" t="inlineStr">
        <is>
          <t>Management Fees</t>
        </is>
      </c>
      <c r="D29" s="6" t="n">
        <v>0</v>
      </c>
      <c r="E29" s="6">
        <f>D29/12</f>
        <v/>
      </c>
      <c r="F29" s="16" t="inlineStr"/>
      <c r="G29" s="16" t="inlineStr"/>
      <c r="H29" s="16" t="inlineStr"/>
      <c r="I29" s="16" t="inlineStr"/>
    </row>
    <row r="30" ht="18" customHeight="1">
      <c r="B30" s="16" t="inlineStr"/>
      <c r="C30" s="13" t="inlineStr">
        <is>
          <t>Payroll</t>
        </is>
      </c>
      <c r="D30" s="6" t="n">
        <v>0</v>
      </c>
      <c r="E30" s="6">
        <f>D30/12</f>
        <v/>
      </c>
      <c r="F30" s="16" t="inlineStr"/>
      <c r="G30" s="16" t="inlineStr"/>
      <c r="H30" s="16" t="inlineStr"/>
      <c r="I30" s="16" t="inlineStr"/>
    </row>
    <row r="31" ht="18" customHeight="1">
      <c r="B31" s="16" t="inlineStr"/>
      <c r="C31" s="13" t="inlineStr">
        <is>
          <t>Repairs &amp; Maintenance</t>
        </is>
      </c>
      <c r="D31" s="6" t="n">
        <v>0</v>
      </c>
      <c r="E31" s="6">
        <f>D31/12</f>
        <v/>
      </c>
      <c r="F31" s="16" t="inlineStr"/>
      <c r="G31" s="16" t="inlineStr"/>
      <c r="H31" s="16" t="inlineStr"/>
      <c r="I31" s="16" t="inlineStr"/>
    </row>
    <row r="32" ht="18" customHeight="1">
      <c r="B32" s="16" t="inlineStr"/>
      <c r="C32" s="13" t="inlineStr">
        <is>
          <t>Utilities</t>
        </is>
      </c>
      <c r="D32" s="6" t="n">
        <v>0</v>
      </c>
      <c r="E32" s="6">
        <f>D32/12</f>
        <v/>
      </c>
      <c r="F32" s="16" t="inlineStr"/>
      <c r="G32" s="16" t="inlineStr"/>
      <c r="H32" s="16" t="inlineStr"/>
      <c r="I32" s="16" t="inlineStr"/>
    </row>
    <row r="33" ht="18" customHeight="1">
      <c r="B33" s="16" t="inlineStr"/>
      <c r="C33" s="13" t="inlineStr">
        <is>
          <t>Accounting &amp; Legal</t>
        </is>
      </c>
      <c r="D33" s="6" t="n">
        <v>0</v>
      </c>
      <c r="E33" s="6">
        <f>D33/12</f>
        <v/>
      </c>
      <c r="F33" s="16" t="inlineStr"/>
      <c r="G33" s="16" t="inlineStr"/>
      <c r="H33" s="16" t="inlineStr"/>
      <c r="I33" s="16" t="inlineStr"/>
    </row>
    <row r="34" ht="18" customHeight="1">
      <c r="B34" s="16" t="inlineStr"/>
      <c r="C34" s="13" t="inlineStr">
        <is>
          <t>Advertising</t>
        </is>
      </c>
      <c r="D34" s="6" t="n">
        <v>0</v>
      </c>
      <c r="E34" s="6">
        <f>D34/12</f>
        <v/>
      </c>
      <c r="F34" s="16" t="inlineStr"/>
      <c r="G34" s="16" t="inlineStr"/>
      <c r="H34" s="16" t="inlineStr"/>
      <c r="I34" s="16" t="inlineStr"/>
    </row>
    <row r="35" ht="18" customHeight="1">
      <c r="B35" s="16" t="inlineStr"/>
      <c r="C35" s="13" t="inlineStr">
        <is>
          <t>Supplies</t>
        </is>
      </c>
      <c r="D35" s="6" t="n">
        <v>0</v>
      </c>
      <c r="E35" s="6">
        <f>D35/12</f>
        <v/>
      </c>
      <c r="F35" s="16" t="inlineStr"/>
      <c r="G35" s="16" t="inlineStr"/>
      <c r="H35" s="16" t="inlineStr"/>
      <c r="I35" s="16" t="inlineStr"/>
    </row>
    <row r="36" ht="18" customHeight="1">
      <c r="B36" s="16" t="inlineStr"/>
      <c r="C36" s="13" t="inlineStr">
        <is>
          <t>Contract Services</t>
        </is>
      </c>
      <c r="D36" s="6" t="n">
        <v>0</v>
      </c>
      <c r="E36" s="6">
        <f>D36/12</f>
        <v/>
      </c>
      <c r="F36" s="16" t="inlineStr"/>
      <c r="G36" s="16" t="inlineStr"/>
      <c r="H36" s="16" t="inlineStr"/>
      <c r="I36" s="16" t="inlineStr"/>
    </row>
    <row r="37" ht="18" customHeight="1">
      <c r="B37" s="16" t="inlineStr"/>
      <c r="C37" s="13" t="inlineStr">
        <is>
          <t>Miscellaneous</t>
        </is>
      </c>
      <c r="D37" s="6" t="n">
        <v>0</v>
      </c>
      <c r="E37" s="6">
        <f>D37/12</f>
        <v/>
      </c>
      <c r="F37" s="16" t="inlineStr"/>
      <c r="G37" s="16" t="inlineStr"/>
      <c r="H37" s="16" t="inlineStr"/>
      <c r="I37" s="16" t="inlineStr"/>
    </row>
    <row r="38" ht="18" customHeight="1">
      <c r="B38" s="16" t="inlineStr"/>
      <c r="C38" s="13" t="inlineStr">
        <is>
          <t>Other Expenses</t>
        </is>
      </c>
      <c r="D38" s="6" t="n">
        <v>0</v>
      </c>
      <c r="E38" s="6">
        <f>D38/12</f>
        <v/>
      </c>
      <c r="F38" s="16" t="inlineStr"/>
      <c r="G38" s="16" t="inlineStr"/>
      <c r="H38" s="16" t="inlineStr"/>
      <c r="I38" s="16" t="inlineStr"/>
    </row>
    <row r="39" ht="20" customHeight="1">
      <c r="B39" s="17" t="inlineStr">
        <is>
          <t>=</t>
        </is>
      </c>
      <c r="C39" s="14" t="inlineStr">
        <is>
          <t>Total Operating Expenses</t>
        </is>
      </c>
      <c r="D39" s="15">
        <f>SUM(D27:D38)</f>
        <v/>
      </c>
      <c r="E39" s="15">
        <f>D39/12</f>
        <v/>
      </c>
    </row>
    <row r="40" ht="8" customHeight="1"/>
    <row r="41" ht="22" customHeight="1">
      <c r="B41" s="18" t="inlineStr">
        <is>
          <t>NET OPERATING INCOME (NOI)</t>
        </is>
      </c>
      <c r="E41" s="19">
        <f>D23-D39</f>
        <v/>
      </c>
    </row>
    <row r="42" ht="8" customHeight="1"/>
    <row r="43" ht="18" customHeight="1">
      <c r="B43" s="20" t="inlineStr">
        <is>
          <t>-</t>
        </is>
      </c>
      <c r="C43" s="21" t="inlineStr">
        <is>
          <t>Annual Debt Service</t>
        </is>
      </c>
      <c r="F43" s="6">
        <f>I15*12</f>
        <v/>
      </c>
    </row>
    <row r="44" ht="18" customHeight="1">
      <c r="B44" s="20" t="inlineStr">
        <is>
          <t>-</t>
        </is>
      </c>
      <c r="C44" s="21" t="inlineStr">
        <is>
          <t>Reserves</t>
        </is>
      </c>
      <c r="F44" s="6" t="n">
        <v>0</v>
      </c>
    </row>
    <row r="45" ht="18" customHeight="1">
      <c r="B45" s="20" t="inlineStr">
        <is>
          <t>-</t>
        </is>
      </c>
      <c r="C45" s="21" t="inlineStr">
        <is>
          <t>Leasing Commissions</t>
        </is>
      </c>
      <c r="F45" s="6" t="n">
        <v>0</v>
      </c>
    </row>
    <row r="46" ht="18" customHeight="1">
      <c r="B46" s="20" t="inlineStr">
        <is>
          <t>-</t>
        </is>
      </c>
      <c r="C46" s="21" t="inlineStr">
        <is>
          <t>Capital Improvements</t>
        </is>
      </c>
      <c r="F46" s="6" t="n">
        <v>0</v>
      </c>
    </row>
    <row r="47" ht="22" customHeight="1">
      <c r="B47" s="22" t="inlineStr">
        <is>
          <t>=</t>
        </is>
      </c>
      <c r="C47" s="18" t="inlineStr">
        <is>
          <t>NET CASH FLOW BEFORE TAXES</t>
        </is>
      </c>
      <c r="F47" s="19">
        <f>D41-(F43+F44+F45+F46)</f>
        <v/>
      </c>
    </row>
    <row r="49" ht="16" customHeight="1">
      <c r="A49" s="23" t="inlineStr">
        <is>
          <t>FORGE | Powered by ARIS | ForgedByAris.com | DISCLAIMER: For analysis purposes only. Not legal or financial advice.</t>
        </is>
      </c>
    </row>
  </sheetData>
  <mergeCells count="24">
    <mergeCell ref="B11:J11"/>
    <mergeCell ref="C44:E44"/>
    <mergeCell ref="B8:D8"/>
    <mergeCell ref="B17:J17"/>
    <mergeCell ref="E9:G9"/>
    <mergeCell ref="C43:E43"/>
    <mergeCell ref="E6:G6"/>
    <mergeCell ref="C46:E46"/>
    <mergeCell ref="B9:D9"/>
    <mergeCell ref="E7:G7"/>
    <mergeCell ref="B6:D6"/>
    <mergeCell ref="A49:J49"/>
    <mergeCell ref="A1:J1"/>
    <mergeCell ref="B5:D5"/>
    <mergeCell ref="B41:D41"/>
    <mergeCell ref="B4:D4"/>
    <mergeCell ref="B7:D7"/>
    <mergeCell ref="B25:J25"/>
    <mergeCell ref="I4:J4"/>
    <mergeCell ref="E5:G5"/>
    <mergeCell ref="C45:E45"/>
    <mergeCell ref="E8:G8"/>
    <mergeCell ref="E4:G4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2026-06-15T21:56:43Z</dcterms:created>
  <dcterms:modified xmlns:dcterms="http://purl.org/dc/terms/" xmlns:xsi="http://www.w3.org/2001/XMLSchema-instance" xsi:type="dcterms:W3CDTF">2026-06-15T21:56:43Z</dcterms:modified>
</cp:coreProperties>
</file>