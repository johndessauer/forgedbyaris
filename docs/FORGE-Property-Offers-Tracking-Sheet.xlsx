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Track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89B3C"/>
      <sz val="10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0F4F8"/>
      </patternFill>
    </fill>
    <fill>
      <patternFill patternType="solid">
        <fgColor rgb="00C89B3C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8" customWidth="1" min="13" max="13"/>
    <col width="28" customWidth="1" min="14" max="14"/>
  </cols>
  <sheetData>
    <row r="1" ht="28" customHeight="1">
      <c r="A1" s="1" t="inlineStr">
        <is>
          <t>FORGE — PROPERTY OFFERS TRACKING SHEET</t>
        </is>
      </c>
    </row>
    <row r="2" ht="18" customHeight="1">
      <c r="A2" s="2" t="inlineStr">
        <is>
          <t>Track every offer submitted — agent, property, numbers, and outcome.</t>
        </is>
      </c>
    </row>
    <row r="3" ht="16" customHeight="1">
      <c r="A3" s="3" t="inlineStr">
        <is>
          <t>CONTRACT / PURCHASED</t>
        </is>
      </c>
      <c r="C3" s="4" t="inlineStr">
        <is>
          <t>RE-SUBMITTED / PENDING</t>
        </is>
      </c>
      <c r="E3" s="5" t="inlineStr">
        <is>
          <t>EXPIRED / DECLINED</t>
        </is>
      </c>
      <c r="G3" s="6" t="inlineStr">
        <is>
          <t>STILL LISTED</t>
        </is>
      </c>
    </row>
    <row r="4" ht="32" customHeight="1">
      <c r="A4" s="7" t="inlineStr">
        <is>
          <t>AGENT / SOURCE</t>
        </is>
      </c>
      <c r="B4" s="7" t="inlineStr">
        <is>
          <t>PROPERTY ADDRESS</t>
        </is>
      </c>
      <c r="C4" s="7" t="inlineStr">
        <is>
          <t>TYPE OF SALE</t>
        </is>
      </c>
      <c r="D4" s="7" t="inlineStr">
        <is>
          <t>MLS #</t>
        </is>
      </c>
      <c r="E4" s="7" t="inlineStr">
        <is>
          <t>LIST PRICE</t>
        </is>
      </c>
      <c r="F4" s="7" t="inlineStr">
        <is>
          <t>OFFER PRICE</t>
        </is>
      </c>
      <c r="G4" s="7" t="inlineStr">
        <is>
          <t>EST. REPAIRS</t>
        </is>
      </c>
      <c r="H4" s="7" t="inlineStr">
        <is>
          <t>ARV</t>
        </is>
      </c>
      <c r="I4" s="7" t="inlineStr">
        <is>
          <t>MAO
(ARV×70%−Repairs)</t>
        </is>
      </c>
      <c r="J4" s="7" t="inlineStr">
        <is>
          <t>DEAL ANALYZER
PROFIT</t>
        </is>
      </c>
      <c r="K4" s="7" t="inlineStr">
        <is>
          <t>DATE
SUBMITTED</t>
        </is>
      </c>
      <c r="L4" s="7" t="inlineStr">
        <is>
          <t>FOLLOW-UP
DATE</t>
        </is>
      </c>
      <c r="M4" s="7" t="inlineStr">
        <is>
          <t>STATUS</t>
        </is>
      </c>
      <c r="N4" s="7" t="inlineStr">
        <is>
          <t>NOTES</t>
        </is>
      </c>
    </row>
    <row r="5" ht="18" customHeight="1">
      <c r="A5" s="8" t="inlineStr">
        <is>
          <t>Realtor 1</t>
        </is>
      </c>
      <c r="B5" s="9" t="inlineStr">
        <is>
          <t>1111 Example Pl, Escondido</t>
        </is>
      </c>
      <c r="C5" s="8" t="inlineStr">
        <is>
          <t>SS</t>
        </is>
      </c>
      <c r="D5" s="8" t="inlineStr">
        <is>
          <t>111111</t>
        </is>
      </c>
      <c r="E5" s="10" t="n">
        <v>340000</v>
      </c>
      <c r="F5" s="10" t="n">
        <v>215000</v>
      </c>
      <c r="G5" s="10" t="n">
        <v>31000</v>
      </c>
      <c r="H5" s="10" t="n">
        <v>340000</v>
      </c>
      <c r="I5" s="11">
        <f>H5*0.7-G5</f>
        <v/>
      </c>
      <c r="J5" s="11" t="n">
        <v>59000</v>
      </c>
      <c r="K5" s="8" t="inlineStr"/>
      <c r="L5" s="8" t="inlineStr"/>
      <c r="M5" s="12" t="inlineStr">
        <is>
          <t>Contract Accepted / Purchased</t>
        </is>
      </c>
      <c r="N5" s="9" t="inlineStr"/>
    </row>
    <row r="6" ht="18" customHeight="1">
      <c r="A6" s="13" t="inlineStr">
        <is>
          <t>Realtor 2</t>
        </is>
      </c>
      <c r="B6" s="14" t="inlineStr">
        <is>
          <t>2222 Example St, San Diego</t>
        </is>
      </c>
      <c r="C6" s="13" t="inlineStr">
        <is>
          <t>REO</t>
        </is>
      </c>
      <c r="D6" s="13" t="inlineStr">
        <is>
          <t>22222</t>
        </is>
      </c>
      <c r="E6" s="15" t="n">
        <v>530400</v>
      </c>
      <c r="F6" s="15" t="n">
        <v>300000</v>
      </c>
      <c r="G6" s="15" t="n">
        <v>87000</v>
      </c>
      <c r="H6" s="15" t="n">
        <v>530000</v>
      </c>
      <c r="I6" s="16">
        <f>H6*0.7-G6</f>
        <v/>
      </c>
      <c r="J6" s="16" t="n">
        <v>93000</v>
      </c>
      <c r="K6" s="13" t="inlineStr"/>
      <c r="L6" s="13" t="inlineStr"/>
      <c r="M6" s="17" t="inlineStr">
        <is>
          <t>Sold (by others)</t>
        </is>
      </c>
      <c r="N6" s="14" t="inlineStr">
        <is>
          <t>Sold for $400,000</t>
        </is>
      </c>
    </row>
    <row r="7" ht="18" customHeight="1">
      <c r="A7" s="8" t="inlineStr">
        <is>
          <t>Realtor 3</t>
        </is>
      </c>
      <c r="B7" s="9" t="inlineStr">
        <is>
          <t>333 Example St, Lakeside</t>
        </is>
      </c>
      <c r="C7" s="8" t="inlineStr">
        <is>
          <t>SS</t>
        </is>
      </c>
      <c r="D7" s="8" t="inlineStr">
        <is>
          <t>333333</t>
        </is>
      </c>
      <c r="E7" s="10" t="n">
        <v>150000</v>
      </c>
      <c r="F7" s="10" t="n">
        <v>120000</v>
      </c>
      <c r="G7" s="10" t="n">
        <v>50000</v>
      </c>
      <c r="H7" s="10" t="n">
        <v>240000</v>
      </c>
      <c r="I7" s="11">
        <f>H7*0.7-G7</f>
        <v/>
      </c>
      <c r="J7" s="11" t="n">
        <v>47000</v>
      </c>
      <c r="K7" s="8" t="inlineStr"/>
      <c r="L7" s="8" t="inlineStr"/>
      <c r="M7" s="18" t="inlineStr">
        <is>
          <t>Emailed — Awaiting Response</t>
        </is>
      </c>
      <c r="N7" s="9" t="inlineStr"/>
    </row>
    <row r="8" ht="18" customHeight="1">
      <c r="A8" s="13" t="inlineStr">
        <is>
          <t>Realtor 4</t>
        </is>
      </c>
      <c r="B8" s="14" t="inlineStr">
        <is>
          <t>4444 Example Ln, San Diego</t>
        </is>
      </c>
      <c r="C8" s="13" t="inlineStr">
        <is>
          <t>REO</t>
        </is>
      </c>
      <c r="D8" s="13" t="inlineStr">
        <is>
          <t>444444</t>
        </is>
      </c>
      <c r="E8" s="15" t="n">
        <v>799000</v>
      </c>
      <c r="F8" s="15" t="n">
        <v>600000</v>
      </c>
      <c r="G8" s="15" t="n">
        <v>115000</v>
      </c>
      <c r="H8" s="15" t="n">
        <v>999000</v>
      </c>
      <c r="I8" s="16">
        <f>H8*0.7-G8</f>
        <v/>
      </c>
      <c r="J8" s="16" t="n">
        <v>163855</v>
      </c>
      <c r="K8" s="13" t="inlineStr"/>
      <c r="L8" s="13" t="inlineStr"/>
      <c r="M8" s="18" t="inlineStr">
        <is>
          <t>Still Listed</t>
        </is>
      </c>
      <c r="N8" s="14" t="inlineStr">
        <is>
          <t>Still overpriced</t>
        </is>
      </c>
    </row>
    <row r="9" ht="18" customHeight="1">
      <c r="A9" s="8" t="inlineStr">
        <is>
          <t>Realtor 4</t>
        </is>
      </c>
      <c r="B9" s="9" t="inlineStr">
        <is>
          <t>6666 Example Ln, San Diego</t>
        </is>
      </c>
      <c r="C9" s="8" t="inlineStr">
        <is>
          <t>REO</t>
        </is>
      </c>
      <c r="D9" s="8" t="inlineStr">
        <is>
          <t>77777</t>
        </is>
      </c>
      <c r="E9" s="10" t="n">
        <v>450000</v>
      </c>
      <c r="F9" s="10" t="n">
        <v>350000</v>
      </c>
      <c r="G9" s="10" t="n">
        <v>70000</v>
      </c>
      <c r="H9" s="10" t="n">
        <v>530000</v>
      </c>
      <c r="I9" s="11">
        <f>H9*0.7-G9</f>
        <v/>
      </c>
      <c r="J9" s="11" t="n">
        <v>90000</v>
      </c>
      <c r="K9" s="8" t="inlineStr"/>
      <c r="L9" s="8" t="inlineStr"/>
      <c r="M9" s="19" t="inlineStr">
        <is>
          <t>Re-Submitted</t>
        </is>
      </c>
      <c r="N9" s="9" t="inlineStr">
        <is>
          <t>Re-submitted 4/4</t>
        </is>
      </c>
    </row>
    <row r="10" ht="18" customHeight="1">
      <c r="A10" s="13" t="inlineStr">
        <is>
          <t>Realtor 5</t>
        </is>
      </c>
      <c r="B10" s="14" t="inlineStr">
        <is>
          <t>5555 Example St, Lemon Grove</t>
        </is>
      </c>
      <c r="C10" s="13" t="inlineStr">
        <is>
          <t>Estate</t>
        </is>
      </c>
      <c r="D10" s="13" t="inlineStr">
        <is>
          <t>555555</t>
        </is>
      </c>
      <c r="E10" s="15" t="n">
        <v>159000</v>
      </c>
      <c r="F10" s="15" t="n">
        <v>25000</v>
      </c>
      <c r="G10" s="15" t="n">
        <v>150000</v>
      </c>
      <c r="H10" s="15" t="n">
        <v>239000</v>
      </c>
      <c r="I10" s="16">
        <f>H10*0.7-G10</f>
        <v/>
      </c>
      <c r="J10" s="16" t="n">
        <v>41000</v>
      </c>
      <c r="K10" s="13" t="inlineStr"/>
      <c r="L10" s="13" t="inlineStr"/>
      <c r="M10" s="20" t="inlineStr">
        <is>
          <t>Expired / Withdrawn</t>
        </is>
      </c>
      <c r="N10" s="14" t="inlineStr">
        <is>
          <t>Expired</t>
        </is>
      </c>
    </row>
    <row r="11" ht="18" customHeight="1">
      <c r="A11" s="8" t="inlineStr">
        <is>
          <t>Realtor 5</t>
        </is>
      </c>
      <c r="B11" s="9" t="inlineStr">
        <is>
          <t>5555 Example St, Lemon Grove</t>
        </is>
      </c>
      <c r="C11" s="8" t="inlineStr">
        <is>
          <t>Estate</t>
        </is>
      </c>
      <c r="D11" s="8" t="inlineStr">
        <is>
          <t>66666</t>
        </is>
      </c>
      <c r="E11" s="10" t="n">
        <v>99000</v>
      </c>
      <c r="F11" s="10" t="n">
        <v>25000</v>
      </c>
      <c r="G11" s="10" t="n">
        <v>150000</v>
      </c>
      <c r="H11" s="10" t="n">
        <v>239000</v>
      </c>
      <c r="I11" s="11">
        <f>H11*0.7-G11</f>
        <v/>
      </c>
      <c r="J11" s="11" t="n">
        <v>41000</v>
      </c>
      <c r="K11" s="8" t="inlineStr"/>
      <c r="L11" s="8" t="inlineStr"/>
      <c r="M11" s="18" t="inlineStr">
        <is>
          <t>Emailed — Awaiting Response</t>
        </is>
      </c>
      <c r="N11" s="9" t="inlineStr"/>
    </row>
    <row r="12" ht="18" customHeight="1">
      <c r="A12" s="21" t="n"/>
      <c r="B12" s="22" t="n"/>
      <c r="C12" s="21" t="n"/>
      <c r="D12" s="21" t="n"/>
      <c r="E12" s="15" t="n"/>
      <c r="F12" s="15" t="n"/>
      <c r="G12" s="15" t="n"/>
      <c r="H12" s="15" t="n"/>
      <c r="I12" s="16">
        <f>IF(H12=0,"",H12*0.7-G12)</f>
        <v/>
      </c>
      <c r="J12" s="16" t="n"/>
      <c r="K12" s="21" t="n"/>
      <c r="L12" s="21" t="n"/>
      <c r="M12" s="21" t="n"/>
      <c r="N12" s="22" t="n"/>
    </row>
    <row r="13" ht="18" customHeight="1">
      <c r="A13" s="23" t="n"/>
      <c r="B13" s="24" t="n"/>
      <c r="C13" s="23" t="n"/>
      <c r="D13" s="23" t="n"/>
      <c r="E13" s="10" t="n"/>
      <c r="F13" s="10" t="n"/>
      <c r="G13" s="10" t="n"/>
      <c r="H13" s="10" t="n"/>
      <c r="I13" s="11">
        <f>IF(H13=0,"",H13*0.7-G13)</f>
        <v/>
      </c>
      <c r="J13" s="11" t="n"/>
      <c r="K13" s="23" t="n"/>
      <c r="L13" s="23" t="n"/>
      <c r="M13" s="23" t="n"/>
      <c r="N13" s="24" t="n"/>
    </row>
    <row r="14" ht="18" customHeight="1">
      <c r="A14" s="21" t="n"/>
      <c r="B14" s="22" t="n"/>
      <c r="C14" s="21" t="n"/>
      <c r="D14" s="21" t="n"/>
      <c r="E14" s="15" t="n"/>
      <c r="F14" s="15" t="n"/>
      <c r="G14" s="15" t="n"/>
      <c r="H14" s="15" t="n"/>
      <c r="I14" s="16">
        <f>IF(H14=0,"",H14*0.7-G14)</f>
        <v/>
      </c>
      <c r="J14" s="16" t="n"/>
      <c r="K14" s="21" t="n"/>
      <c r="L14" s="21" t="n"/>
      <c r="M14" s="21" t="n"/>
      <c r="N14" s="22" t="n"/>
    </row>
    <row r="15" ht="18" customHeight="1">
      <c r="A15" s="23" t="n"/>
      <c r="B15" s="24" t="n"/>
      <c r="C15" s="23" t="n"/>
      <c r="D15" s="23" t="n"/>
      <c r="E15" s="10" t="n"/>
      <c r="F15" s="10" t="n"/>
      <c r="G15" s="10" t="n"/>
      <c r="H15" s="10" t="n"/>
      <c r="I15" s="11">
        <f>IF(H15=0,"",H15*0.7-G15)</f>
        <v/>
      </c>
      <c r="J15" s="11" t="n"/>
      <c r="K15" s="23" t="n"/>
      <c r="L15" s="23" t="n"/>
      <c r="M15" s="23" t="n"/>
      <c r="N15" s="24" t="n"/>
    </row>
    <row r="16" ht="18" customHeight="1">
      <c r="A16" s="21" t="n"/>
      <c r="B16" s="22" t="n"/>
      <c r="C16" s="21" t="n"/>
      <c r="D16" s="21" t="n"/>
      <c r="E16" s="15" t="n"/>
      <c r="F16" s="15" t="n"/>
      <c r="G16" s="15" t="n"/>
      <c r="H16" s="15" t="n"/>
      <c r="I16" s="16">
        <f>IF(H16=0,"",H16*0.7-G16)</f>
        <v/>
      </c>
      <c r="J16" s="16" t="n"/>
      <c r="K16" s="21" t="n"/>
      <c r="L16" s="21" t="n"/>
      <c r="M16" s="21" t="n"/>
      <c r="N16" s="22" t="n"/>
    </row>
    <row r="17" ht="18" customHeight="1">
      <c r="A17" s="23" t="n"/>
      <c r="B17" s="24" t="n"/>
      <c r="C17" s="23" t="n"/>
      <c r="D17" s="23" t="n"/>
      <c r="E17" s="10" t="n"/>
      <c r="F17" s="10" t="n"/>
      <c r="G17" s="10" t="n"/>
      <c r="H17" s="10" t="n"/>
      <c r="I17" s="11">
        <f>IF(H17=0,"",H17*0.7-G17)</f>
        <v/>
      </c>
      <c r="J17" s="11" t="n"/>
      <c r="K17" s="23" t="n"/>
      <c r="L17" s="23" t="n"/>
      <c r="M17" s="23" t="n"/>
      <c r="N17" s="24" t="n"/>
    </row>
    <row r="18" ht="18" customHeight="1">
      <c r="A18" s="21" t="n"/>
      <c r="B18" s="22" t="n"/>
      <c r="C18" s="21" t="n"/>
      <c r="D18" s="21" t="n"/>
      <c r="E18" s="15" t="n"/>
      <c r="F18" s="15" t="n"/>
      <c r="G18" s="15" t="n"/>
      <c r="H18" s="15" t="n"/>
      <c r="I18" s="16">
        <f>IF(H18=0,"",H18*0.7-G18)</f>
        <v/>
      </c>
      <c r="J18" s="16" t="n"/>
      <c r="K18" s="21" t="n"/>
      <c r="L18" s="21" t="n"/>
      <c r="M18" s="21" t="n"/>
      <c r="N18" s="22" t="n"/>
    </row>
    <row r="19" ht="18" customHeight="1">
      <c r="A19" s="23" t="n"/>
      <c r="B19" s="24" t="n"/>
      <c r="C19" s="23" t="n"/>
      <c r="D19" s="23" t="n"/>
      <c r="E19" s="10" t="n"/>
      <c r="F19" s="10" t="n"/>
      <c r="G19" s="10" t="n"/>
      <c r="H19" s="10" t="n"/>
      <c r="I19" s="11">
        <f>IF(H19=0,"",H19*0.7-G19)</f>
        <v/>
      </c>
      <c r="J19" s="11" t="n"/>
      <c r="K19" s="23" t="n"/>
      <c r="L19" s="23" t="n"/>
      <c r="M19" s="23" t="n"/>
      <c r="N19" s="24" t="n"/>
    </row>
    <row r="20" ht="18" customHeight="1">
      <c r="A20" s="21" t="n"/>
      <c r="B20" s="22" t="n"/>
      <c r="C20" s="21" t="n"/>
      <c r="D20" s="21" t="n"/>
      <c r="E20" s="15" t="n"/>
      <c r="F20" s="15" t="n"/>
      <c r="G20" s="15" t="n"/>
      <c r="H20" s="15" t="n"/>
      <c r="I20" s="16">
        <f>IF(H20=0,"",H20*0.7-G20)</f>
        <v/>
      </c>
      <c r="J20" s="16" t="n"/>
      <c r="K20" s="21" t="n"/>
      <c r="L20" s="21" t="n"/>
      <c r="M20" s="21" t="n"/>
      <c r="N20" s="22" t="n"/>
    </row>
    <row r="21" ht="18" customHeight="1">
      <c r="A21" s="23" t="n"/>
      <c r="B21" s="24" t="n"/>
      <c r="C21" s="23" t="n"/>
      <c r="D21" s="23" t="n"/>
      <c r="E21" s="10" t="n"/>
      <c r="F21" s="10" t="n"/>
      <c r="G21" s="10" t="n"/>
      <c r="H21" s="10" t="n"/>
      <c r="I21" s="11">
        <f>IF(H21=0,"",H21*0.7-G21)</f>
        <v/>
      </c>
      <c r="J21" s="11" t="n"/>
      <c r="K21" s="23" t="n"/>
      <c r="L21" s="23" t="n"/>
      <c r="M21" s="23" t="n"/>
      <c r="N21" s="24" t="n"/>
    </row>
    <row r="22" ht="18" customHeight="1">
      <c r="A22" s="21" t="n"/>
      <c r="B22" s="22" t="n"/>
      <c r="C22" s="21" t="n"/>
      <c r="D22" s="21" t="n"/>
      <c r="E22" s="15" t="n"/>
      <c r="F22" s="15" t="n"/>
      <c r="G22" s="15" t="n"/>
      <c r="H22" s="15" t="n"/>
      <c r="I22" s="16">
        <f>IF(H22=0,"",H22*0.7-G22)</f>
        <v/>
      </c>
      <c r="J22" s="16" t="n"/>
      <c r="K22" s="21" t="n"/>
      <c r="L22" s="21" t="n"/>
      <c r="M22" s="21" t="n"/>
      <c r="N22" s="22" t="n"/>
    </row>
    <row r="23" ht="18" customHeight="1">
      <c r="A23" s="23" t="n"/>
      <c r="B23" s="24" t="n"/>
      <c r="C23" s="23" t="n"/>
      <c r="D23" s="23" t="n"/>
      <c r="E23" s="10" t="n"/>
      <c r="F23" s="10" t="n"/>
      <c r="G23" s="10" t="n"/>
      <c r="H23" s="10" t="n"/>
      <c r="I23" s="11">
        <f>IF(H23=0,"",H23*0.7-G23)</f>
        <v/>
      </c>
      <c r="J23" s="11" t="n"/>
      <c r="K23" s="23" t="n"/>
      <c r="L23" s="23" t="n"/>
      <c r="M23" s="23" t="n"/>
      <c r="N23" s="24" t="n"/>
    </row>
    <row r="24" ht="18" customHeight="1">
      <c r="A24" s="21" t="n"/>
      <c r="B24" s="22" t="n"/>
      <c r="C24" s="21" t="n"/>
      <c r="D24" s="21" t="n"/>
      <c r="E24" s="15" t="n"/>
      <c r="F24" s="15" t="n"/>
      <c r="G24" s="15" t="n"/>
      <c r="H24" s="15" t="n"/>
      <c r="I24" s="16">
        <f>IF(H24=0,"",H24*0.7-G24)</f>
        <v/>
      </c>
      <c r="J24" s="16" t="n"/>
      <c r="K24" s="21" t="n"/>
      <c r="L24" s="21" t="n"/>
      <c r="M24" s="21" t="n"/>
      <c r="N24" s="22" t="n"/>
    </row>
    <row r="25" ht="18" customHeight="1">
      <c r="A25" s="23" t="n"/>
      <c r="B25" s="24" t="n"/>
      <c r="C25" s="23" t="n"/>
      <c r="D25" s="23" t="n"/>
      <c r="E25" s="10" t="n"/>
      <c r="F25" s="10" t="n"/>
      <c r="G25" s="10" t="n"/>
      <c r="H25" s="10" t="n"/>
      <c r="I25" s="11">
        <f>IF(H25=0,"",H25*0.7-G25)</f>
        <v/>
      </c>
      <c r="J25" s="11" t="n"/>
      <c r="K25" s="23" t="n"/>
      <c r="L25" s="23" t="n"/>
      <c r="M25" s="23" t="n"/>
      <c r="N25" s="24" t="n"/>
    </row>
    <row r="26" ht="18" customHeight="1">
      <c r="A26" s="21" t="n"/>
      <c r="B26" s="22" t="n"/>
      <c r="C26" s="21" t="n"/>
      <c r="D26" s="21" t="n"/>
      <c r="E26" s="15" t="n"/>
      <c r="F26" s="15" t="n"/>
      <c r="G26" s="15" t="n"/>
      <c r="H26" s="15" t="n"/>
      <c r="I26" s="16">
        <f>IF(H26=0,"",H26*0.7-G26)</f>
        <v/>
      </c>
      <c r="J26" s="16" t="n"/>
      <c r="K26" s="21" t="n"/>
      <c r="L26" s="21" t="n"/>
      <c r="M26" s="21" t="n"/>
      <c r="N26" s="22" t="n"/>
    </row>
    <row r="27" ht="18" customHeight="1">
      <c r="A27" s="23" t="n"/>
      <c r="B27" s="24" t="n"/>
      <c r="C27" s="23" t="n"/>
      <c r="D27" s="23" t="n"/>
      <c r="E27" s="10" t="n"/>
      <c r="F27" s="10" t="n"/>
      <c r="G27" s="10" t="n"/>
      <c r="H27" s="10" t="n"/>
      <c r="I27" s="11">
        <f>IF(H27=0,"",H27*0.7-G27)</f>
        <v/>
      </c>
      <c r="J27" s="11" t="n"/>
      <c r="K27" s="23" t="n"/>
      <c r="L27" s="23" t="n"/>
      <c r="M27" s="23" t="n"/>
      <c r="N27" s="24" t="n"/>
    </row>
    <row r="28" ht="18" customHeight="1">
      <c r="A28" s="21" t="n"/>
      <c r="B28" s="22" t="n"/>
      <c r="C28" s="21" t="n"/>
      <c r="D28" s="21" t="n"/>
      <c r="E28" s="15" t="n"/>
      <c r="F28" s="15" t="n"/>
      <c r="G28" s="15" t="n"/>
      <c r="H28" s="15" t="n"/>
      <c r="I28" s="16">
        <f>IF(H28=0,"",H28*0.7-G28)</f>
        <v/>
      </c>
      <c r="J28" s="16" t="n"/>
      <c r="K28" s="21" t="n"/>
      <c r="L28" s="21" t="n"/>
      <c r="M28" s="21" t="n"/>
      <c r="N28" s="22" t="n"/>
    </row>
    <row r="29" ht="18" customHeight="1">
      <c r="A29" s="23" t="n"/>
      <c r="B29" s="24" t="n"/>
      <c r="C29" s="23" t="n"/>
      <c r="D29" s="23" t="n"/>
      <c r="E29" s="10" t="n"/>
      <c r="F29" s="10" t="n"/>
      <c r="G29" s="10" t="n"/>
      <c r="H29" s="10" t="n"/>
      <c r="I29" s="11">
        <f>IF(H29=0,"",H29*0.7-G29)</f>
        <v/>
      </c>
      <c r="J29" s="11" t="n"/>
      <c r="K29" s="23" t="n"/>
      <c r="L29" s="23" t="n"/>
      <c r="M29" s="23" t="n"/>
      <c r="N29" s="24" t="n"/>
    </row>
    <row r="30" ht="18" customHeight="1">
      <c r="A30" s="21" t="n"/>
      <c r="B30" s="22" t="n"/>
      <c r="C30" s="21" t="n"/>
      <c r="D30" s="21" t="n"/>
      <c r="E30" s="15" t="n"/>
      <c r="F30" s="15" t="n"/>
      <c r="G30" s="15" t="n"/>
      <c r="H30" s="15" t="n"/>
      <c r="I30" s="16">
        <f>IF(H30=0,"",H30*0.7-G30)</f>
        <v/>
      </c>
      <c r="J30" s="16" t="n"/>
      <c r="K30" s="21" t="n"/>
      <c r="L30" s="21" t="n"/>
      <c r="M30" s="21" t="n"/>
      <c r="N30" s="22" t="n"/>
    </row>
    <row r="31" ht="18" customHeight="1">
      <c r="A31" s="23" t="n"/>
      <c r="B31" s="24" t="n"/>
      <c r="C31" s="23" t="n"/>
      <c r="D31" s="23" t="n"/>
      <c r="E31" s="10" t="n"/>
      <c r="F31" s="10" t="n"/>
      <c r="G31" s="10" t="n"/>
      <c r="H31" s="10" t="n"/>
      <c r="I31" s="11">
        <f>IF(H31=0,"",H31*0.7-G31)</f>
        <v/>
      </c>
      <c r="J31" s="11" t="n"/>
      <c r="K31" s="23" t="n"/>
      <c r="L31" s="23" t="n"/>
      <c r="M31" s="23" t="n"/>
      <c r="N31" s="24" t="n"/>
    </row>
    <row r="32" ht="18" customHeight="1">
      <c r="A32" s="21" t="n"/>
      <c r="B32" s="22" t="n"/>
      <c r="C32" s="21" t="n"/>
      <c r="D32" s="21" t="n"/>
      <c r="E32" s="15" t="n"/>
      <c r="F32" s="15" t="n"/>
      <c r="G32" s="15" t="n"/>
      <c r="H32" s="15" t="n"/>
      <c r="I32" s="16">
        <f>IF(H32=0,"",H32*0.7-G32)</f>
        <v/>
      </c>
      <c r="J32" s="16" t="n"/>
      <c r="K32" s="21" t="n"/>
      <c r="L32" s="21" t="n"/>
      <c r="M32" s="21" t="n"/>
      <c r="N32" s="22" t="n"/>
    </row>
    <row r="33" ht="18" customHeight="1">
      <c r="A33" s="23" t="n"/>
      <c r="B33" s="24" t="n"/>
      <c r="C33" s="23" t="n"/>
      <c r="D33" s="23" t="n"/>
      <c r="E33" s="10" t="n"/>
      <c r="F33" s="10" t="n"/>
      <c r="G33" s="10" t="n"/>
      <c r="H33" s="10" t="n"/>
      <c r="I33" s="11">
        <f>IF(H33=0,"",H33*0.7-G33)</f>
        <v/>
      </c>
      <c r="J33" s="11" t="n"/>
      <c r="K33" s="23" t="n"/>
      <c r="L33" s="23" t="n"/>
      <c r="M33" s="23" t="n"/>
      <c r="N33" s="24" t="n"/>
    </row>
    <row r="34" ht="18" customHeight="1">
      <c r="A34" s="21" t="n"/>
      <c r="B34" s="22" t="n"/>
      <c r="C34" s="21" t="n"/>
      <c r="D34" s="21" t="n"/>
      <c r="E34" s="15" t="n"/>
      <c r="F34" s="15" t="n"/>
      <c r="G34" s="15" t="n"/>
      <c r="H34" s="15" t="n"/>
      <c r="I34" s="16">
        <f>IF(H34=0,"",H34*0.7-G34)</f>
        <v/>
      </c>
      <c r="J34" s="16" t="n"/>
      <c r="K34" s="21" t="n"/>
      <c r="L34" s="21" t="n"/>
      <c r="M34" s="21" t="n"/>
      <c r="N34" s="22" t="n"/>
    </row>
    <row r="35" ht="18" customHeight="1">
      <c r="A35" s="23" t="n"/>
      <c r="B35" s="24" t="n"/>
      <c r="C35" s="23" t="n"/>
      <c r="D35" s="23" t="n"/>
      <c r="E35" s="10" t="n"/>
      <c r="F35" s="10" t="n"/>
      <c r="G35" s="10" t="n"/>
      <c r="H35" s="10" t="n"/>
      <c r="I35" s="11">
        <f>IF(H35=0,"",H35*0.7-G35)</f>
        <v/>
      </c>
      <c r="J35" s="11" t="n"/>
      <c r="K35" s="23" t="n"/>
      <c r="L35" s="23" t="n"/>
      <c r="M35" s="23" t="n"/>
      <c r="N35" s="24" t="n"/>
    </row>
    <row r="36" ht="18" customHeight="1">
      <c r="A36" s="21" t="n"/>
      <c r="B36" s="22" t="n"/>
      <c r="C36" s="21" t="n"/>
      <c r="D36" s="21" t="n"/>
      <c r="E36" s="15" t="n"/>
      <c r="F36" s="15" t="n"/>
      <c r="G36" s="15" t="n"/>
      <c r="H36" s="15" t="n"/>
      <c r="I36" s="16">
        <f>IF(H36=0,"",H36*0.7-G36)</f>
        <v/>
      </c>
      <c r="J36" s="16" t="n"/>
      <c r="K36" s="21" t="n"/>
      <c r="L36" s="21" t="n"/>
      <c r="M36" s="21" t="n"/>
      <c r="N36" s="22" t="n"/>
    </row>
    <row r="37" ht="18" customHeight="1">
      <c r="A37" s="23" t="n"/>
      <c r="B37" s="24" t="n"/>
      <c r="C37" s="23" t="n"/>
      <c r="D37" s="23" t="n"/>
      <c r="E37" s="10" t="n"/>
      <c r="F37" s="10" t="n"/>
      <c r="G37" s="10" t="n"/>
      <c r="H37" s="10" t="n"/>
      <c r="I37" s="11">
        <f>IF(H37=0,"",H37*0.7-G37)</f>
        <v/>
      </c>
      <c r="J37" s="11" t="n"/>
      <c r="K37" s="23" t="n"/>
      <c r="L37" s="23" t="n"/>
      <c r="M37" s="23" t="n"/>
      <c r="N37" s="24" t="n"/>
    </row>
    <row r="38" ht="18" customHeight="1">
      <c r="A38" s="21" t="n"/>
      <c r="B38" s="22" t="n"/>
      <c r="C38" s="21" t="n"/>
      <c r="D38" s="21" t="n"/>
      <c r="E38" s="15" t="n"/>
      <c r="F38" s="15" t="n"/>
      <c r="G38" s="15" t="n"/>
      <c r="H38" s="15" t="n"/>
      <c r="I38" s="16">
        <f>IF(H38=0,"",H38*0.7-G38)</f>
        <v/>
      </c>
      <c r="J38" s="16" t="n"/>
      <c r="K38" s="21" t="n"/>
      <c r="L38" s="21" t="n"/>
      <c r="M38" s="21" t="n"/>
      <c r="N38" s="22" t="n"/>
    </row>
    <row r="39" ht="18" customHeight="1">
      <c r="A39" s="23" t="n"/>
      <c r="B39" s="24" t="n"/>
      <c r="C39" s="23" t="n"/>
      <c r="D39" s="23" t="n"/>
      <c r="E39" s="10" t="n"/>
      <c r="F39" s="10" t="n"/>
      <c r="G39" s="10" t="n"/>
      <c r="H39" s="10" t="n"/>
      <c r="I39" s="11">
        <f>IF(H39=0,"",H39*0.7-G39)</f>
        <v/>
      </c>
      <c r="J39" s="11" t="n"/>
      <c r="K39" s="23" t="n"/>
      <c r="L39" s="23" t="n"/>
      <c r="M39" s="23" t="n"/>
      <c r="N39" s="24" t="n"/>
    </row>
    <row r="40" ht="18" customHeight="1">
      <c r="A40" s="21" t="n"/>
      <c r="B40" s="22" t="n"/>
      <c r="C40" s="21" t="n"/>
      <c r="D40" s="21" t="n"/>
      <c r="E40" s="15" t="n"/>
      <c r="F40" s="15" t="n"/>
      <c r="G40" s="15" t="n"/>
      <c r="H40" s="15" t="n"/>
      <c r="I40" s="16">
        <f>IF(H40=0,"",H40*0.7-G40)</f>
        <v/>
      </c>
      <c r="J40" s="16" t="n"/>
      <c r="K40" s="21" t="n"/>
      <c r="L40" s="21" t="n"/>
      <c r="M40" s="21" t="n"/>
      <c r="N40" s="22" t="n"/>
    </row>
    <row r="41" ht="18" customHeight="1">
      <c r="A41" s="23" t="n"/>
      <c r="B41" s="24" t="n"/>
      <c r="C41" s="23" t="n"/>
      <c r="D41" s="23" t="n"/>
      <c r="E41" s="10" t="n"/>
      <c r="F41" s="10" t="n"/>
      <c r="G41" s="10" t="n"/>
      <c r="H41" s="10" t="n"/>
      <c r="I41" s="11">
        <f>IF(H41=0,"",H41*0.7-G41)</f>
        <v/>
      </c>
      <c r="J41" s="11" t="n"/>
      <c r="K41" s="23" t="n"/>
      <c r="L41" s="23" t="n"/>
      <c r="M41" s="23" t="n"/>
      <c r="N41" s="24" t="n"/>
    </row>
    <row r="42" ht="18" customHeight="1">
      <c r="A42" s="21" t="n"/>
      <c r="B42" s="22" t="n"/>
      <c r="C42" s="21" t="n"/>
      <c r="D42" s="21" t="n"/>
      <c r="E42" s="15" t="n"/>
      <c r="F42" s="15" t="n"/>
      <c r="G42" s="15" t="n"/>
      <c r="H42" s="15" t="n"/>
      <c r="I42" s="16">
        <f>IF(H42=0,"",H42*0.7-G42)</f>
        <v/>
      </c>
      <c r="J42" s="16" t="n"/>
      <c r="K42" s="21" t="n"/>
      <c r="L42" s="21" t="n"/>
      <c r="M42" s="21" t="n"/>
      <c r="N42" s="22" t="n"/>
    </row>
    <row r="43" ht="18" customHeight="1">
      <c r="A43" s="23" t="n"/>
      <c r="B43" s="24" t="n"/>
      <c r="C43" s="23" t="n"/>
      <c r="D43" s="23" t="n"/>
      <c r="E43" s="10" t="n"/>
      <c r="F43" s="10" t="n"/>
      <c r="G43" s="10" t="n"/>
      <c r="H43" s="10" t="n"/>
      <c r="I43" s="11">
        <f>IF(H43=0,"",H43*0.7-G43)</f>
        <v/>
      </c>
      <c r="J43" s="11" t="n"/>
      <c r="K43" s="23" t="n"/>
      <c r="L43" s="23" t="n"/>
      <c r="M43" s="23" t="n"/>
      <c r="N43" s="24" t="n"/>
    </row>
    <row r="44" ht="18" customHeight="1">
      <c r="A44" s="21" t="n"/>
      <c r="B44" s="22" t="n"/>
      <c r="C44" s="21" t="n"/>
      <c r="D44" s="21" t="n"/>
      <c r="E44" s="15" t="n"/>
      <c r="F44" s="15" t="n"/>
      <c r="G44" s="15" t="n"/>
      <c r="H44" s="15" t="n"/>
      <c r="I44" s="16">
        <f>IF(H44=0,"",H44*0.7-G44)</f>
        <v/>
      </c>
      <c r="J44" s="16" t="n"/>
      <c r="K44" s="21" t="n"/>
      <c r="L44" s="21" t="n"/>
      <c r="M44" s="21" t="n"/>
      <c r="N44" s="22" t="n"/>
    </row>
    <row r="45" ht="18" customHeight="1">
      <c r="A45" s="23" t="n"/>
      <c r="B45" s="24" t="n"/>
      <c r="C45" s="23" t="n"/>
      <c r="D45" s="23" t="n"/>
      <c r="E45" s="10" t="n"/>
      <c r="F45" s="10" t="n"/>
      <c r="G45" s="10" t="n"/>
      <c r="H45" s="10" t="n"/>
      <c r="I45" s="11">
        <f>IF(H45=0,"",H45*0.7-G45)</f>
        <v/>
      </c>
      <c r="J45" s="11" t="n"/>
      <c r="K45" s="23" t="n"/>
      <c r="L45" s="23" t="n"/>
      <c r="M45" s="23" t="n"/>
      <c r="N45" s="24" t="n"/>
    </row>
    <row r="46" ht="18" customHeight="1">
      <c r="A46" s="21" t="n"/>
      <c r="B46" s="22" t="n"/>
      <c r="C46" s="21" t="n"/>
      <c r="D46" s="21" t="n"/>
      <c r="E46" s="15" t="n"/>
      <c r="F46" s="15" t="n"/>
      <c r="G46" s="15" t="n"/>
      <c r="H46" s="15" t="n"/>
      <c r="I46" s="16">
        <f>IF(H46=0,"",H46*0.7-G46)</f>
        <v/>
      </c>
      <c r="J46" s="16" t="n"/>
      <c r="K46" s="21" t="n"/>
      <c r="L46" s="21" t="n"/>
      <c r="M46" s="21" t="n"/>
      <c r="N46" s="22" t="n"/>
    </row>
    <row r="47" ht="18" customHeight="1">
      <c r="A47" s="23" t="n"/>
      <c r="B47" s="24" t="n"/>
      <c r="C47" s="23" t="n"/>
      <c r="D47" s="23" t="n"/>
      <c r="E47" s="10" t="n"/>
      <c r="F47" s="10" t="n"/>
      <c r="G47" s="10" t="n"/>
      <c r="H47" s="10" t="n"/>
      <c r="I47" s="11">
        <f>IF(H47=0,"",H47*0.7-G47)</f>
        <v/>
      </c>
      <c r="J47" s="11" t="n"/>
      <c r="K47" s="23" t="n"/>
      <c r="L47" s="23" t="n"/>
      <c r="M47" s="23" t="n"/>
      <c r="N47" s="24" t="n"/>
    </row>
    <row r="48" ht="18" customHeight="1">
      <c r="A48" s="21" t="n"/>
      <c r="B48" s="22" t="n"/>
      <c r="C48" s="21" t="n"/>
      <c r="D48" s="21" t="n"/>
      <c r="E48" s="15" t="n"/>
      <c r="F48" s="15" t="n"/>
      <c r="G48" s="15" t="n"/>
      <c r="H48" s="15" t="n"/>
      <c r="I48" s="16">
        <f>IF(H48=0,"",H48*0.7-G48)</f>
        <v/>
      </c>
      <c r="J48" s="16" t="n"/>
      <c r="K48" s="21" t="n"/>
      <c r="L48" s="21" t="n"/>
      <c r="M48" s="21" t="n"/>
      <c r="N48" s="22" t="n"/>
    </row>
    <row r="49" ht="18" customHeight="1">
      <c r="A49" s="23" t="n"/>
      <c r="B49" s="24" t="n"/>
      <c r="C49" s="23" t="n"/>
      <c r="D49" s="23" t="n"/>
      <c r="E49" s="10" t="n"/>
      <c r="F49" s="10" t="n"/>
      <c r="G49" s="10" t="n"/>
      <c r="H49" s="10" t="n"/>
      <c r="I49" s="11">
        <f>IF(H49=0,"",H49*0.7-G49)</f>
        <v/>
      </c>
      <c r="J49" s="11" t="n"/>
      <c r="K49" s="23" t="n"/>
      <c r="L49" s="23" t="n"/>
      <c r="M49" s="23" t="n"/>
      <c r="N49" s="24" t="n"/>
    </row>
    <row r="50" ht="18" customHeight="1">
      <c r="A50" s="21" t="n"/>
      <c r="B50" s="22" t="n"/>
      <c r="C50" s="21" t="n"/>
      <c r="D50" s="21" t="n"/>
      <c r="E50" s="15" t="n"/>
      <c r="F50" s="15" t="n"/>
      <c r="G50" s="15" t="n"/>
      <c r="H50" s="15" t="n"/>
      <c r="I50" s="16">
        <f>IF(H50=0,"",H50*0.7-G50)</f>
        <v/>
      </c>
      <c r="J50" s="16" t="n"/>
      <c r="K50" s="21" t="n"/>
      <c r="L50" s="21" t="n"/>
      <c r="M50" s="21" t="n"/>
      <c r="N50" s="22" t="n"/>
    </row>
    <row r="51" ht="18" customHeight="1">
      <c r="A51" s="23" t="n"/>
      <c r="B51" s="24" t="n"/>
      <c r="C51" s="23" t="n"/>
      <c r="D51" s="23" t="n"/>
      <c r="E51" s="10" t="n"/>
      <c r="F51" s="10" t="n"/>
      <c r="G51" s="10" t="n"/>
      <c r="H51" s="10" t="n"/>
      <c r="I51" s="11">
        <f>IF(H51=0,"",H51*0.7-G51)</f>
        <v/>
      </c>
      <c r="J51" s="11" t="n"/>
      <c r="K51" s="23" t="n"/>
      <c r="L51" s="23" t="n"/>
      <c r="M51" s="23" t="n"/>
      <c r="N51" s="24" t="n"/>
    </row>
    <row r="52" ht="18" customHeight="1">
      <c r="A52" s="21" t="n"/>
      <c r="B52" s="22" t="n"/>
      <c r="C52" s="21" t="n"/>
      <c r="D52" s="21" t="n"/>
      <c r="E52" s="15" t="n"/>
      <c r="F52" s="15" t="n"/>
      <c r="G52" s="15" t="n"/>
      <c r="H52" s="15" t="n"/>
      <c r="I52" s="16">
        <f>IF(H52=0,"",H52*0.7-G52)</f>
        <v/>
      </c>
      <c r="J52" s="16" t="n"/>
      <c r="K52" s="21" t="n"/>
      <c r="L52" s="21" t="n"/>
      <c r="M52" s="21" t="n"/>
      <c r="N52" s="22" t="n"/>
    </row>
    <row r="53" ht="18" customHeight="1">
      <c r="A53" s="23" t="n"/>
      <c r="B53" s="24" t="n"/>
      <c r="C53" s="23" t="n"/>
      <c r="D53" s="23" t="n"/>
      <c r="E53" s="10" t="n"/>
      <c r="F53" s="10" t="n"/>
      <c r="G53" s="10" t="n"/>
      <c r="H53" s="10" t="n"/>
      <c r="I53" s="11">
        <f>IF(H53=0,"",H53*0.7-G53)</f>
        <v/>
      </c>
      <c r="J53" s="11" t="n"/>
      <c r="K53" s="23" t="n"/>
      <c r="L53" s="23" t="n"/>
      <c r="M53" s="23" t="n"/>
      <c r="N53" s="24" t="n"/>
    </row>
    <row r="54" ht="18" customHeight="1">
      <c r="A54" s="21" t="n"/>
      <c r="B54" s="22" t="n"/>
      <c r="C54" s="21" t="n"/>
      <c r="D54" s="21" t="n"/>
      <c r="E54" s="15" t="n"/>
      <c r="F54" s="15" t="n"/>
      <c r="G54" s="15" t="n"/>
      <c r="H54" s="15" t="n"/>
      <c r="I54" s="16">
        <f>IF(H54=0,"",H54*0.7-G54)</f>
        <v/>
      </c>
      <c r="J54" s="16" t="n"/>
      <c r="K54" s="21" t="n"/>
      <c r="L54" s="21" t="n"/>
      <c r="M54" s="21" t="n"/>
      <c r="N54" s="22" t="n"/>
    </row>
    <row r="55" ht="20" customHeight="1">
      <c r="A55" s="25" t="inlineStr">
        <is>
          <t>TOTALS</t>
        </is>
      </c>
      <c r="E55" s="26">
        <f>SUM(E5:E54)</f>
        <v/>
      </c>
      <c r="F55" s="26">
        <f>SUM(F5:F54)</f>
        <v/>
      </c>
      <c r="G55" s="26">
        <f>SUM(G5:G54)</f>
        <v/>
      </c>
      <c r="H55" s="26">
        <f>SUM(H5:H54)</f>
        <v/>
      </c>
      <c r="I55" s="26">
        <f>SUM(I5:I54)</f>
        <v/>
      </c>
      <c r="J55" s="26">
        <f>SUM(J5:J54)</f>
        <v/>
      </c>
      <c r="K55" s="27" t="n"/>
      <c r="L55" s="27" t="n"/>
      <c r="M55" s="27" t="n"/>
      <c r="N55" s="27" t="n"/>
    </row>
  </sheetData>
  <mergeCells count="7">
    <mergeCell ref="A2:N2"/>
    <mergeCell ref="A55:D55"/>
    <mergeCell ref="C3:D3"/>
    <mergeCell ref="A3:B3"/>
    <mergeCell ref="G3:H3"/>
    <mergeCell ref="E3:F3"/>
    <mergeCell ref="A1:N1"/>
  </mergeCells>
  <dataValidations count="1">
    <dataValidation sqref="M5:M54" showDropDown="0" showInputMessage="0" showErrorMessage="0" allowBlank="1" type="list">
      <formula1>"Contract Accepted / Purchased,Re-Submitted,Still Listed,Expired / Withdrawn,Declined,Pending / Contingent,Sold (by others),Emailed — Awaiting Response"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28" t="inlineStr">
        <is>
          <t>FORGE OFFER TRACKER — HOW TO USE</t>
        </is>
      </c>
    </row>
    <row r="2" ht="10" customHeight="1">
      <c r="A2" s="29" t="inlineStr"/>
    </row>
    <row r="3" ht="18" customHeight="1">
      <c r="A3" s="30" t="inlineStr">
        <is>
          <t>COLUMN GUIDE</t>
        </is>
      </c>
    </row>
    <row r="4" ht="18" customHeight="1">
      <c r="A4" s="29" t="inlineStr">
        <is>
          <t>A — AGENT / SOURCE: Name of the listing agent or lead source (bandit sign, direct mail, etc.)</t>
        </is>
      </c>
    </row>
    <row r="5" ht="18" customHeight="1">
      <c r="A5" s="29" t="inlineStr">
        <is>
          <t>B — PROPERTY ADDRESS: Full street address of the subject property</t>
        </is>
      </c>
    </row>
    <row r="6" ht="18" customHeight="1">
      <c r="A6" s="29" t="inlineStr">
        <is>
          <t>C — TYPE OF SALE: REO, SS (Short Sale), Estate, Standard, Wholesale, etc.</t>
        </is>
      </c>
    </row>
    <row r="7" ht="18" customHeight="1">
      <c r="A7" s="29" t="inlineStr">
        <is>
          <t>D — MLS #: MLS listing number for reference and tracking</t>
        </is>
      </c>
    </row>
    <row r="8" ht="18" customHeight="1">
      <c r="A8" s="29" t="inlineStr">
        <is>
          <t>E — LIST PRICE: Current asking price (blue = input)</t>
        </is>
      </c>
    </row>
    <row r="9" ht="18" customHeight="1">
      <c r="A9" s="29" t="inlineStr">
        <is>
          <t>F — OFFER PRICE: Your submitted offer amount (blue = input)</t>
        </is>
      </c>
    </row>
    <row r="10" ht="18" customHeight="1">
      <c r="A10" s="29" t="inlineStr">
        <is>
          <t>G — EST. REPAIRS: Your repair cost estimate (blue = input)</t>
        </is>
      </c>
    </row>
    <row r="11" ht="18" customHeight="1">
      <c r="A11" s="29" t="inlineStr">
        <is>
          <t>H — ARV: After Repair Value — what the property is worth fully rehabbed (blue = input)</t>
        </is>
      </c>
    </row>
    <row r="12" ht="18" customHeight="1">
      <c r="A12" s="29" t="inlineStr">
        <is>
          <t>I — MAO: Auto-calculated = (ARV x 0.70) - Repairs. This is your Maximum Allowable Offer.</t>
        </is>
      </c>
    </row>
    <row r="13" ht="18" customHeight="1">
      <c r="A13" s="29" t="inlineStr">
        <is>
          <t>J — DEAL ANALYZER PROFIT: Profit figure from FORGE Deal Analyzer (black = formula output)</t>
        </is>
      </c>
    </row>
    <row r="14" ht="18" customHeight="1">
      <c r="A14" s="29" t="inlineStr">
        <is>
          <t>K — DATE SUBMITTED: Date you submitted the offer</t>
        </is>
      </c>
    </row>
    <row r="15" ht="18" customHeight="1">
      <c r="A15" s="29" t="inlineStr">
        <is>
          <t>L — FOLLOW-UP DATE: When to next follow up with the agent or lender</t>
        </is>
      </c>
    </row>
    <row r="16" ht="18" customHeight="1">
      <c r="A16" s="29" t="inlineStr">
        <is>
          <t>M — STATUS: Select from dropdown. Colors update automatically.</t>
        </is>
      </c>
    </row>
    <row r="17" ht="18" customHeight="1">
      <c r="A17" s="29" t="inlineStr">
        <is>
          <t>N — NOTES: Any deal-specific notes, agent comments, counter offers, etc.</t>
        </is>
      </c>
    </row>
    <row r="18" ht="10" customHeight="1">
      <c r="A18" s="29" t="inlineStr"/>
    </row>
    <row r="19" ht="18" customHeight="1">
      <c r="A19" s="30" t="inlineStr">
        <is>
          <t>STATUS COLOR CODE</t>
        </is>
      </c>
    </row>
    <row r="20" ht="18" customHeight="1">
      <c r="A20" s="29" t="inlineStr">
        <is>
          <t>GREEN = Contract Accepted / Purchased</t>
        </is>
      </c>
    </row>
    <row r="21" ht="18" customHeight="1">
      <c r="A21" s="29" t="inlineStr">
        <is>
          <t>AMBER = Re-Submitted / Pending / Contingent</t>
        </is>
      </c>
    </row>
    <row r="22" ht="18" customHeight="1">
      <c r="A22" s="29" t="inlineStr">
        <is>
          <t>RED = Expired / Withdrawn / Declined</t>
        </is>
      </c>
    </row>
    <row r="23" ht="18" customHeight="1">
      <c r="A23" s="29" t="inlineStr">
        <is>
          <t>GREY/WHITE = Still Listed / Awaiting Response</t>
        </is>
      </c>
    </row>
    <row r="24" ht="10" customHeight="1">
      <c r="A24" s="29" t="inlineStr"/>
    </row>
    <row r="25" ht="18" customHeight="1">
      <c r="A25" s="30" t="inlineStr">
        <is>
          <t>FORMULA NOTE</t>
        </is>
      </c>
    </row>
    <row r="26" ht="18" customHeight="1">
      <c r="A26" s="29" t="inlineStr">
        <is>
          <t>Blue text = inputs (data you enter). Black text = calculated formulas. Do not overwrite formula cells.</t>
        </is>
      </c>
    </row>
    <row r="27" ht="18" customHeight="1">
      <c r="A27" s="29" t="inlineStr">
        <is>
          <t>MAO Formula: ARV x 0.70 - Estimated Repairs. Use FORGE Deal Analyzer for full profit analysis before committing.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2026-06-14T00:05:09Z</dcterms:created>
  <dcterms:modified xmlns:dcterms="http://purl.org/dc/terms/" xmlns:xsi="http://www.w3.org/2001/XMLSchema-instance" xsi:type="dcterms:W3CDTF">2026-06-14T00:05:09Z</dcterms:modified>
</cp:coreProperties>
</file>